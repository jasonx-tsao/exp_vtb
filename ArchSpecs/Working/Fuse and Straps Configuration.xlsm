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3A6F9E7D-9DA0-4E41-AFAE-D26ABA354664}" xr6:coauthVersionLast="44" xr6:coauthVersionMax="44" xr10:uidLastSave="{00000000-0000-0000-0000-000000000000}"/>
  <bookViews>
    <workbookView xWindow="28680" yWindow="-120" windowWidth="29040" windowHeight="15840"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sheetId="7" r:id="rId9"/>
    <sheet name="Group2,3" sheetId="15" r:id="rId10"/>
    <sheet name="Softstrap" sheetId="8" r:id="rId11"/>
    <sheet name="MISC" sheetId="17" r:id="rId12"/>
  </sheets>
  <functionGroups builtInGroupCount="19"/>
  <definedNames>
    <definedName name="_xlnm._FilterDatabase" localSheetId="8" hidden="1">Group1!$A$1:$O$104</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8" i="12" l="1"/>
  <c r="F68" i="12"/>
  <c r="E68" i="12"/>
  <c r="D68" i="12"/>
  <c r="C68" i="12"/>
  <c r="B68" i="12"/>
  <c r="M86" i="7"/>
  <c r="I41" i="29"/>
  <c r="I40" i="29"/>
  <c r="I39" i="29"/>
  <c r="I38" i="29"/>
  <c r="I37" i="29"/>
  <c r="I36" i="29"/>
  <c r="E36" i="29"/>
  <c r="I35" i="29"/>
  <c r="I34" i="29"/>
  <c r="I33" i="29"/>
  <c r="I32" i="29"/>
  <c r="I31" i="29"/>
  <c r="E31" i="29"/>
  <c r="I30" i="29"/>
  <c r="I29" i="29"/>
  <c r="I28" i="29"/>
  <c r="G23" i="29"/>
  <c r="G16" i="29"/>
  <c r="G15" i="29"/>
  <c r="G14" i="29"/>
  <c r="G13" i="29"/>
  <c r="I14" i="29" s="1"/>
  <c r="I41" i="28"/>
  <c r="I40" i="28"/>
  <c r="I39" i="28"/>
  <c r="I38" i="28"/>
  <c r="I37" i="28"/>
  <c r="I36" i="28"/>
  <c r="E36" i="28"/>
  <c r="I35" i="28"/>
  <c r="I34" i="28"/>
  <c r="I33" i="28"/>
  <c r="I32" i="28"/>
  <c r="I31" i="28"/>
  <c r="E31" i="28"/>
  <c r="I30" i="28"/>
  <c r="I29" i="28"/>
  <c r="I28" i="28"/>
  <c r="G23" i="28"/>
  <c r="G16" i="28"/>
  <c r="G15" i="28"/>
  <c r="G14" i="28"/>
  <c r="G13" i="28"/>
  <c r="H14" i="28" s="1"/>
  <c r="I41" i="27"/>
  <c r="I40" i="27"/>
  <c r="I39" i="27"/>
  <c r="I38" i="27"/>
  <c r="I37" i="27"/>
  <c r="I36" i="27"/>
  <c r="E36" i="27"/>
  <c r="I35" i="27"/>
  <c r="I34" i="27"/>
  <c r="I33" i="27"/>
  <c r="I32" i="27"/>
  <c r="I31" i="27"/>
  <c r="E31" i="27"/>
  <c r="I30" i="27"/>
  <c r="I29" i="27"/>
  <c r="I28" i="27"/>
  <c r="G23" i="27"/>
  <c r="G16" i="27"/>
  <c r="G15" i="27"/>
  <c r="G14" i="27"/>
  <c r="G13" i="27"/>
  <c r="I14" i="27" s="1"/>
  <c r="E36" i="24"/>
  <c r="E31" i="24"/>
  <c r="L16" i="29"/>
  <c r="L15" i="29"/>
  <c r="L14" i="29"/>
  <c r="L13" i="29"/>
  <c r="G31" i="28"/>
  <c r="F7" i="21"/>
  <c r="F14" i="21"/>
  <c r="N66" i="7"/>
  <c r="G28" i="29"/>
  <c r="F8" i="21"/>
  <c r="G29" i="29"/>
  <c r="G39" i="29"/>
  <c r="G38" i="27"/>
  <c r="O76" i="7"/>
  <c r="F11" i="21"/>
  <c r="G37" i="28"/>
  <c r="G41" i="24"/>
  <c r="G33" i="27"/>
  <c r="F13" i="21"/>
  <c r="G33" i="28"/>
  <c r="G30" i="27"/>
  <c r="G41" i="27"/>
  <c r="G32" i="29"/>
  <c r="G31" i="29"/>
  <c r="G36" i="28"/>
  <c r="G35" i="29"/>
  <c r="G37" i="27"/>
  <c r="M67" i="7"/>
  <c r="G36" i="24"/>
  <c r="G38" i="28"/>
  <c r="G30" i="28"/>
  <c r="M66" i="7"/>
  <c r="G41" i="29"/>
  <c r="O68" i="7"/>
  <c r="F6" i="21"/>
  <c r="G35" i="28"/>
  <c r="G32" i="28"/>
  <c r="G40" i="27"/>
  <c r="F9" i="21"/>
  <c r="F12" i="21"/>
  <c r="G37" i="29"/>
  <c r="N76" i="7"/>
  <c r="G34" i="29"/>
  <c r="G33" i="29"/>
  <c r="M87" i="7"/>
  <c r="G34" i="28"/>
  <c r="O66" i="7"/>
  <c r="F5" i="21"/>
  <c r="G36" i="29"/>
  <c r="G31" i="27"/>
  <c r="G32" i="27"/>
  <c r="G40" i="29"/>
  <c r="G27" i="29"/>
  <c r="G35" i="27"/>
  <c r="G28" i="27"/>
  <c r="F4" i="21"/>
  <c r="G36" i="27"/>
  <c r="F10" i="21"/>
  <c r="G38" i="29"/>
  <c r="G40" i="28"/>
  <c r="G27" i="28"/>
  <c r="F3" i="21"/>
  <c r="F17" i="21"/>
  <c r="G29" i="27"/>
  <c r="N67" i="7"/>
  <c r="G31" i="24"/>
  <c r="M76" i="7"/>
  <c r="N68" i="7"/>
  <c r="M68" i="7"/>
  <c r="G39" i="28"/>
  <c r="G34" i="27"/>
  <c r="F16" i="21"/>
  <c r="G29" i="28"/>
  <c r="G27" i="27"/>
  <c r="G39" i="27"/>
  <c r="G41" i="28"/>
  <c r="O67" i="7"/>
  <c r="G30" i="29"/>
  <c r="G28" i="28"/>
  <c r="F15" i="21"/>
  <c r="I15" i="29" l="1"/>
  <c r="H15" i="28"/>
  <c r="H16" i="28" s="1"/>
  <c r="H14" i="27"/>
  <c r="H15" i="27" s="1"/>
  <c r="H16" i="27" s="1"/>
  <c r="H14" i="29"/>
  <c r="H15" i="29" s="1"/>
  <c r="H16" i="29" s="1"/>
  <c r="I14" i="28"/>
  <c r="I15" i="28" s="1"/>
  <c r="I15" i="27"/>
  <c r="O104" i="7" l="1"/>
  <c r="N104" i="7"/>
  <c r="M104" i="7"/>
  <c r="O103" i="7"/>
  <c r="N103" i="7"/>
  <c r="M103" i="7"/>
  <c r="O102" i="7"/>
  <c r="N102" i="7"/>
  <c r="M102" i="7"/>
  <c r="O101" i="7"/>
  <c r="N101" i="7"/>
  <c r="M101" i="7"/>
  <c r="O86" i="7"/>
  <c r="N86" i="7"/>
  <c r="O84" i="7"/>
  <c r="N84" i="7"/>
  <c r="M84" i="7"/>
  <c r="O83" i="7"/>
  <c r="N83" i="7"/>
  <c r="M83" i="7"/>
  <c r="O77" i="7"/>
  <c r="N77" i="7"/>
  <c r="M77" i="7"/>
  <c r="O74" i="7"/>
  <c r="N74" i="7"/>
  <c r="M74" i="7"/>
  <c r="O70" i="7"/>
  <c r="N70" i="7"/>
  <c r="M70" i="7"/>
  <c r="O69" i="7"/>
  <c r="N69" i="7"/>
  <c r="M69" i="7"/>
  <c r="O65" i="7"/>
  <c r="N65" i="7"/>
  <c r="M65" i="7"/>
  <c r="O64" i="7"/>
  <c r="N64" i="7"/>
  <c r="M64" i="7"/>
  <c r="O62" i="7"/>
  <c r="N62" i="7"/>
  <c r="M62" i="7"/>
  <c r="O57" i="7"/>
  <c r="N57" i="7"/>
  <c r="M57" i="7"/>
  <c r="O45" i="7"/>
  <c r="N45" i="7"/>
  <c r="M45" i="7"/>
  <c r="O42" i="7"/>
  <c r="N42" i="7"/>
  <c r="M42" i="7"/>
  <c r="O39" i="7"/>
  <c r="N39" i="7"/>
  <c r="M39" i="7"/>
  <c r="O35" i="7"/>
  <c r="N35" i="7"/>
  <c r="M35" i="7"/>
  <c r="O19" i="7"/>
  <c r="N19" i="7"/>
  <c r="M19" i="7"/>
  <c r="O18" i="7"/>
  <c r="N18" i="7"/>
  <c r="M18" i="7"/>
  <c r="O16" i="7"/>
  <c r="N16" i="7"/>
  <c r="M16" i="7"/>
  <c r="O10" i="7"/>
  <c r="N10" i="7"/>
  <c r="M10" i="7"/>
  <c r="O9" i="7"/>
  <c r="N9" i="7"/>
  <c r="M9" i="7"/>
  <c r="O8" i="7"/>
  <c r="N8" i="7"/>
  <c r="M8" i="7"/>
  <c r="O5" i="7"/>
  <c r="N5" i="7"/>
  <c r="M5" i="7"/>
  <c r="O3" i="7"/>
  <c r="N3" i="7"/>
  <c r="M3" i="7"/>
  <c r="O2" i="7"/>
  <c r="N2" i="7"/>
  <c r="M2" i="7"/>
  <c r="M11" i="7"/>
  <c r="N47" i="8"/>
  <c r="M47" i="8"/>
  <c r="L47" i="8"/>
  <c r="N46" i="8"/>
  <c r="M46" i="8"/>
  <c r="L46" i="8"/>
  <c r="N45" i="8"/>
  <c r="M45" i="8"/>
  <c r="L45" i="8"/>
  <c r="N44" i="8"/>
  <c r="M44" i="8"/>
  <c r="L44" i="8"/>
  <c r="N42" i="8"/>
  <c r="M42" i="8"/>
  <c r="L42" i="8"/>
  <c r="N41" i="8"/>
  <c r="M41" i="8"/>
  <c r="L41" i="8"/>
  <c r="N39" i="8"/>
  <c r="M39" i="8"/>
  <c r="L39" i="8"/>
  <c r="N38" i="8"/>
  <c r="M38" i="8"/>
  <c r="L38" i="8"/>
  <c r="N37" i="8"/>
  <c r="M37" i="8"/>
  <c r="L37" i="8"/>
  <c r="N36" i="8"/>
  <c r="M36" i="8"/>
  <c r="L36" i="8"/>
  <c r="N35" i="8"/>
  <c r="M35" i="8"/>
  <c r="L35" i="8"/>
  <c r="N34" i="8"/>
  <c r="M34" i="8"/>
  <c r="L34" i="8"/>
  <c r="N5" i="8"/>
  <c r="M5" i="8"/>
  <c r="L5" i="8"/>
  <c r="N20" i="8"/>
  <c r="M20" i="8"/>
  <c r="L20" i="8"/>
  <c r="N17" i="8"/>
  <c r="M17" i="8"/>
  <c r="L17" i="8"/>
  <c r="N14" i="8"/>
  <c r="M14" i="8"/>
  <c r="L14" i="8"/>
  <c r="J23" i="28" l="1"/>
  <c r="J23" i="29"/>
  <c r="J23" i="27"/>
  <c r="I41" i="24"/>
  <c r="I40" i="24"/>
  <c r="I39" i="24"/>
  <c r="I38" i="24"/>
  <c r="I37" i="24"/>
  <c r="I36" i="24"/>
  <c r="I35" i="24"/>
  <c r="I34" i="24"/>
  <c r="I33" i="24"/>
  <c r="I32" i="24"/>
  <c r="I31" i="24"/>
  <c r="I30" i="24"/>
  <c r="I29" i="24"/>
  <c r="I28" i="24"/>
  <c r="G23" i="24"/>
  <c r="G16" i="24"/>
  <c r="G15" i="24"/>
  <c r="G14" i="24"/>
  <c r="G13" i="24"/>
  <c r="I14" i="24" s="1"/>
  <c r="O82" i="7"/>
  <c r="N82" i="7"/>
  <c r="M82" i="7"/>
  <c r="I15" i="24" l="1"/>
  <c r="H14" i="24"/>
  <c r="H15" i="24" s="1"/>
  <c r="H16" i="24" s="1"/>
  <c r="E66" i="12"/>
  <c r="H17" i="21" l="1"/>
  <c r="H16" i="21"/>
  <c r="H15" i="21"/>
  <c r="H14" i="21"/>
  <c r="H13" i="21"/>
  <c r="H12" i="21"/>
  <c r="H11" i="21"/>
  <c r="H10" i="21"/>
  <c r="H9" i="21"/>
  <c r="H8" i="21"/>
  <c r="H7" i="21"/>
  <c r="H6" i="21"/>
  <c r="H5" i="21"/>
  <c r="H4" i="21"/>
  <c r="L10" i="8" l="1"/>
  <c r="M10" i="8"/>
  <c r="N10" i="8"/>
  <c r="O71" i="7"/>
  <c r="N71" i="7"/>
  <c r="M71" i="7"/>
  <c r="O63" i="7"/>
  <c r="N63" i="7"/>
  <c r="M63" i="7"/>
  <c r="O31" i="7"/>
  <c r="N31" i="7"/>
  <c r="M31" i="7"/>
  <c r="O11" i="7"/>
  <c r="N11" i="7"/>
  <c r="B67" i="12" l="1"/>
  <c r="B66" i="12"/>
  <c r="F65" i="12"/>
  <c r="E65" i="12"/>
  <c r="B65" i="12"/>
  <c r="E1" i="12"/>
  <c r="B1" i="12"/>
  <c r="G7" i="29"/>
  <c r="L6" i="28"/>
  <c r="L35" i="29"/>
  <c r="G11" i="27"/>
  <c r="L20" i="28"/>
  <c r="M4" i="7"/>
  <c r="L7" i="27"/>
  <c r="L36" i="28"/>
  <c r="G5" i="29"/>
  <c r="L33" i="28"/>
  <c r="G20" i="28"/>
  <c r="G4" i="27"/>
  <c r="L4" i="28"/>
  <c r="O4" i="7"/>
  <c r="G24" i="28"/>
  <c r="G24" i="27"/>
  <c r="L19" i="27"/>
  <c r="G11" i="28"/>
  <c r="L18" i="27"/>
  <c r="L31" i="29"/>
  <c r="L23" i="27"/>
  <c r="L38" i="29"/>
  <c r="L15" i="27"/>
  <c r="G12" i="29"/>
  <c r="L3" i="28"/>
  <c r="L35" i="27"/>
  <c r="L34" i="29"/>
  <c r="L39" i="29"/>
  <c r="L41" i="29"/>
  <c r="L30" i="29"/>
  <c r="G4" i="29"/>
  <c r="L3" i="27"/>
  <c r="L31" i="27"/>
  <c r="L16" i="27"/>
  <c r="L5" i="28"/>
  <c r="G18" i="28"/>
  <c r="G7" i="27"/>
  <c r="L17" i="28"/>
  <c r="L9" i="27"/>
  <c r="G12" i="28"/>
  <c r="G25" i="28"/>
  <c r="L21" i="28"/>
  <c r="G6" i="28"/>
  <c r="L39" i="28"/>
  <c r="L11" i="28"/>
  <c r="G25" i="29"/>
  <c r="G5" i="28"/>
  <c r="L40" i="27"/>
  <c r="L35" i="28"/>
  <c r="L21" i="27"/>
  <c r="G10" i="28"/>
  <c r="G4" i="28"/>
  <c r="G21" i="29"/>
  <c r="L40" i="29"/>
  <c r="L10" i="27"/>
  <c r="G22" i="28"/>
  <c r="G10" i="29"/>
  <c r="L10" i="29" s="1"/>
  <c r="L20" i="27"/>
  <c r="L13" i="27"/>
  <c r="L30" i="28"/>
  <c r="G22" i="29"/>
  <c r="L33" i="29"/>
  <c r="L38" i="28"/>
  <c r="G21" i="27"/>
  <c r="L34" i="27"/>
  <c r="L36" i="27"/>
  <c r="G7" i="28"/>
  <c r="G8" i="29"/>
  <c r="G6" i="29"/>
  <c r="G5" i="27"/>
  <c r="G18" i="27"/>
  <c r="L23" i="29"/>
  <c r="L5" i="27"/>
  <c r="L10" i="28"/>
  <c r="G20" i="27"/>
  <c r="L41" i="28"/>
  <c r="L36" i="29"/>
  <c r="L23" i="28"/>
  <c r="N4" i="7"/>
  <c r="L31" i="28"/>
  <c r="L29" i="29"/>
  <c r="G19" i="28"/>
  <c r="L17" i="27"/>
  <c r="L6" i="27"/>
  <c r="G10" i="27"/>
  <c r="L8" i="28"/>
  <c r="L28" i="29"/>
  <c r="L29" i="27"/>
  <c r="L13" i="28"/>
  <c r="L14" i="28"/>
  <c r="G19" i="29"/>
  <c r="L33" i="27"/>
  <c r="L15" i="28"/>
  <c r="L28" i="28"/>
  <c r="G19" i="27"/>
  <c r="L22" i="28"/>
  <c r="L16" i="28"/>
  <c r="G20" i="29"/>
  <c r="G17" i="29"/>
  <c r="L8" i="27"/>
  <c r="L7" i="28"/>
  <c r="G22" i="27"/>
  <c r="G6" i="27"/>
  <c r="L4" i="27"/>
  <c r="G3" i="28"/>
  <c r="G9" i="29"/>
  <c r="L9" i="29" s="1"/>
  <c r="G21" i="28"/>
  <c r="G3" i="27"/>
  <c r="G3" i="29"/>
  <c r="G8" i="28"/>
  <c r="L12" i="27"/>
  <c r="L22" i="27"/>
  <c r="G17" i="28"/>
  <c r="G11" i="29"/>
  <c r="L39" i="27"/>
  <c r="G8" i="27"/>
  <c r="G12" i="27"/>
  <c r="L11" i="27"/>
  <c r="G9" i="28"/>
  <c r="G25" i="27"/>
  <c r="L34" i="28"/>
  <c r="L38" i="27"/>
  <c r="L12" i="28"/>
  <c r="L30" i="27"/>
  <c r="L28" i="27"/>
  <c r="L40" i="28"/>
  <c r="L41" i="27"/>
  <c r="G18" i="29"/>
  <c r="G24" i="29"/>
  <c r="L29" i="28"/>
  <c r="L18" i="28"/>
  <c r="L14" i="27"/>
  <c r="L9" i="28"/>
  <c r="G9" i="27"/>
  <c r="G17" i="27"/>
  <c r="L19" i="28"/>
  <c r="H24" i="29" l="1"/>
  <c r="O24" i="29"/>
  <c r="H19" i="29"/>
  <c r="H11" i="29"/>
  <c r="H9" i="29"/>
  <c r="H22" i="29"/>
  <c r="H5" i="29"/>
  <c r="O13" i="29"/>
  <c r="H17" i="29"/>
  <c r="H21" i="29"/>
  <c r="O3" i="29"/>
  <c r="I4" i="29"/>
  <c r="I5" i="29" s="1"/>
  <c r="I6" i="29" s="1"/>
  <c r="I7" i="29" s="1"/>
  <c r="O27" i="29"/>
  <c r="H20" i="29"/>
  <c r="I9" i="29"/>
  <c r="I10" i="29" s="1"/>
  <c r="I11" i="29" s="1"/>
  <c r="I12" i="29" s="1"/>
  <c r="O8" i="29"/>
  <c r="H6" i="29"/>
  <c r="H4" i="29"/>
  <c r="H18" i="29"/>
  <c r="H7" i="29"/>
  <c r="H12" i="29"/>
  <c r="H10" i="29"/>
  <c r="H25" i="29"/>
  <c r="O24" i="28"/>
  <c r="H24" i="28"/>
  <c r="H19" i="28"/>
  <c r="H11" i="28"/>
  <c r="H9" i="28"/>
  <c r="H22" i="28"/>
  <c r="O13" i="28"/>
  <c r="H17" i="28"/>
  <c r="O3" i="28"/>
  <c r="I4" i="28"/>
  <c r="I5" i="28" s="1"/>
  <c r="I6" i="28" s="1"/>
  <c r="I7" i="28" s="1"/>
  <c r="O27" i="28"/>
  <c r="H20" i="28"/>
  <c r="I9" i="28"/>
  <c r="I10" i="28" s="1"/>
  <c r="I11" i="28" s="1"/>
  <c r="I12" i="28" s="1"/>
  <c r="O8" i="28"/>
  <c r="H6" i="28"/>
  <c r="H4" i="28"/>
  <c r="H25" i="28"/>
  <c r="H12" i="28"/>
  <c r="H10" i="28"/>
  <c r="H18" i="28"/>
  <c r="H21" i="28"/>
  <c r="H7" i="28"/>
  <c r="H5" i="28"/>
  <c r="O27" i="27"/>
  <c r="H20" i="27"/>
  <c r="I9" i="27"/>
  <c r="I10" i="27" s="1"/>
  <c r="I11" i="27" s="1"/>
  <c r="I12" i="27" s="1"/>
  <c r="O8" i="27"/>
  <c r="H6" i="27"/>
  <c r="H4" i="27"/>
  <c r="H12" i="27"/>
  <c r="O13" i="27"/>
  <c r="H17" i="27"/>
  <c r="H10" i="27"/>
  <c r="H25" i="27"/>
  <c r="H18" i="27"/>
  <c r="H21" i="27"/>
  <c r="I4" i="27"/>
  <c r="I5" i="27" s="1"/>
  <c r="I6" i="27" s="1"/>
  <c r="I7" i="27" s="1"/>
  <c r="O3" i="27"/>
  <c r="H7" i="27"/>
  <c r="H5" i="27"/>
  <c r="H24" i="27"/>
  <c r="O24" i="27"/>
  <c r="H19" i="27"/>
  <c r="H11" i="27"/>
  <c r="H9" i="27"/>
  <c r="H22" i="27"/>
  <c r="J23" i="24"/>
  <c r="D122" i="7"/>
  <c r="D121" i="7"/>
  <c r="D120" i="7"/>
  <c r="L20" i="29"/>
  <c r="L19" i="29"/>
  <c r="L6" i="29"/>
  <c r="L21" i="29"/>
  <c r="O3" i="21" l="1"/>
  <c r="H103" i="7"/>
  <c r="M110" i="7"/>
  <c r="M22" i="8"/>
  <c r="L11" i="8"/>
  <c r="M16" i="8"/>
  <c r="N32" i="7"/>
  <c r="O40" i="7"/>
  <c r="O78" i="7"/>
  <c r="N43" i="7"/>
  <c r="N12" i="7"/>
  <c r="L19" i="8"/>
  <c r="M90" i="7"/>
  <c r="L5" i="24"/>
  <c r="N41" i="7"/>
  <c r="O96" i="7"/>
  <c r="N96" i="7"/>
  <c r="M20" i="7"/>
  <c r="O100" i="7"/>
  <c r="M12" i="8"/>
  <c r="G11" i="24"/>
  <c r="M54" i="7"/>
  <c r="M121" i="7"/>
  <c r="O44" i="7"/>
  <c r="N92" i="7"/>
  <c r="O75" i="7"/>
  <c r="L23" i="8"/>
  <c r="N60" i="7"/>
  <c r="L7" i="8"/>
  <c r="N29" i="8"/>
  <c r="O85" i="7"/>
  <c r="M53" i="7"/>
  <c r="N112" i="7"/>
  <c r="N27" i="7"/>
  <c r="G30" i="24"/>
  <c r="N28" i="7"/>
  <c r="N121" i="7"/>
  <c r="O81" i="7"/>
  <c r="M122" i="7"/>
  <c r="M93" i="7"/>
  <c r="O116" i="7"/>
  <c r="M49" i="8"/>
  <c r="M106" i="7"/>
  <c r="N30" i="7"/>
  <c r="M51" i="8"/>
  <c r="N79" i="7"/>
  <c r="M17" i="7"/>
  <c r="M38" i="7"/>
  <c r="L7" i="24"/>
  <c r="M47" i="7"/>
  <c r="L22" i="8"/>
  <c r="L28" i="8"/>
  <c r="L5" i="29"/>
  <c r="N90" i="7"/>
  <c r="M55" i="7"/>
  <c r="K7" i="21"/>
  <c r="M80" i="7"/>
  <c r="O21" i="7"/>
  <c r="M29" i="8"/>
  <c r="M46" i="7"/>
  <c r="M41" i="7"/>
  <c r="O56" i="7"/>
  <c r="L16" i="8"/>
  <c r="N72" i="7"/>
  <c r="M95" i="7"/>
  <c r="O17" i="7"/>
  <c r="N122" i="7"/>
  <c r="O106" i="7"/>
  <c r="O29" i="7"/>
  <c r="K16" i="21"/>
  <c r="M34" i="7"/>
  <c r="O49" i="7"/>
  <c r="N93" i="7"/>
  <c r="N20" i="7"/>
  <c r="L10" i="24"/>
  <c r="N59" i="7"/>
  <c r="F7" i="15"/>
  <c r="L48" i="8"/>
  <c r="K12" i="21"/>
  <c r="N24" i="7"/>
  <c r="G40" i="24"/>
  <c r="M79" i="7"/>
  <c r="O105" i="7"/>
  <c r="M27" i="8"/>
  <c r="N28" i="8"/>
  <c r="M32" i="8"/>
  <c r="N75" i="7"/>
  <c r="L51" i="8"/>
  <c r="M105" i="7"/>
  <c r="L4" i="8"/>
  <c r="N94" i="7"/>
  <c r="M81" i="7"/>
  <c r="O117" i="7"/>
  <c r="M52" i="7"/>
  <c r="M26" i="7"/>
  <c r="L21" i="8"/>
  <c r="F12" i="15"/>
  <c r="G9" i="24"/>
  <c r="M26" i="8"/>
  <c r="K4" i="21"/>
  <c r="O23" i="7"/>
  <c r="O120" i="7"/>
  <c r="N21" i="7"/>
  <c r="G22" i="24"/>
  <c r="O61" i="7"/>
  <c r="O107" i="7"/>
  <c r="L32" i="8"/>
  <c r="O26" i="7"/>
  <c r="M14" i="7"/>
  <c r="M51" i="7"/>
  <c r="O20" i="7"/>
  <c r="G29" i="24"/>
  <c r="N46" i="7"/>
  <c r="M120" i="7"/>
  <c r="N33" i="7"/>
  <c r="M23" i="8"/>
  <c r="N32" i="8"/>
  <c r="F8" i="15"/>
  <c r="M108" i="7"/>
  <c r="L15" i="8"/>
  <c r="N15" i="8"/>
  <c r="M21" i="7"/>
  <c r="M109" i="7"/>
  <c r="N50" i="8"/>
  <c r="O37" i="7"/>
  <c r="N48" i="7"/>
  <c r="N17" i="7"/>
  <c r="M96" i="7"/>
  <c r="N47" i="7"/>
  <c r="L38" i="24"/>
  <c r="L9" i="24"/>
  <c r="L30" i="8"/>
  <c r="O80" i="7"/>
  <c r="L18" i="8"/>
  <c r="N118" i="7"/>
  <c r="M27" i="7"/>
  <c r="O34" i="7"/>
  <c r="G39" i="24"/>
  <c r="M113" i="7"/>
  <c r="M92" i="7"/>
  <c r="O122" i="7"/>
  <c r="L12" i="29"/>
  <c r="N58" i="7"/>
  <c r="N40" i="8"/>
  <c r="L22" i="29"/>
  <c r="M24" i="8"/>
  <c r="M49" i="7"/>
  <c r="O121" i="7"/>
  <c r="F11" i="15"/>
  <c r="G32" i="24"/>
  <c r="O55" i="7"/>
  <c r="M73" i="7"/>
  <c r="L31" i="8"/>
  <c r="L3" i="8"/>
  <c r="M56" i="7"/>
  <c r="M4" i="8"/>
  <c r="O59" i="7"/>
  <c r="N8" i="8"/>
  <c r="L14" i="24"/>
  <c r="N119" i="7"/>
  <c r="M91" i="7"/>
  <c r="L24" i="8"/>
  <c r="N26" i="8"/>
  <c r="N34" i="7"/>
  <c r="M13" i="8"/>
  <c r="L27" i="8"/>
  <c r="N3" i="8"/>
  <c r="N114" i="7"/>
  <c r="N97" i="7"/>
  <c r="L6" i="24"/>
  <c r="M75" i="7"/>
  <c r="N51" i="8"/>
  <c r="M48" i="7"/>
  <c r="O97" i="7"/>
  <c r="M30" i="8"/>
  <c r="N30" i="8"/>
  <c r="L26" i="8"/>
  <c r="L18" i="24"/>
  <c r="M43" i="7"/>
  <c r="M37" i="7"/>
  <c r="N23" i="7"/>
  <c r="N55" i="8"/>
  <c r="L2" i="8"/>
  <c r="O15" i="7"/>
  <c r="N53" i="7"/>
  <c r="M50" i="8"/>
  <c r="L49" i="8"/>
  <c r="N73" i="7"/>
  <c r="N109" i="7"/>
  <c r="N56" i="7"/>
  <c r="M43" i="8"/>
  <c r="M6" i="7"/>
  <c r="N9" i="8"/>
  <c r="L43" i="8"/>
  <c r="O12" i="7"/>
  <c r="M88" i="7"/>
  <c r="L30" i="24"/>
  <c r="L31" i="24"/>
  <c r="O108" i="7"/>
  <c r="M40" i="8"/>
  <c r="O91" i="7"/>
  <c r="L55" i="8"/>
  <c r="O50" i="7"/>
  <c r="G24" i="24"/>
  <c r="M3" i="8"/>
  <c r="M98" i="7"/>
  <c r="M33" i="8"/>
  <c r="M2" i="8"/>
  <c r="M97" i="7"/>
  <c r="N54" i="7"/>
  <c r="N16" i="8"/>
  <c r="G5" i="24"/>
  <c r="O110" i="7"/>
  <c r="M25" i="7"/>
  <c r="L18" i="29"/>
  <c r="M119" i="7"/>
  <c r="L28" i="24"/>
  <c r="M23" i="7"/>
  <c r="N22" i="8"/>
  <c r="M89" i="7"/>
  <c r="N91" i="7"/>
  <c r="G12" i="24"/>
  <c r="N50" i="7"/>
  <c r="N55" i="7"/>
  <c r="N44" i="7"/>
  <c r="N117" i="7"/>
  <c r="L13" i="8"/>
  <c r="O58" i="7"/>
  <c r="L11" i="24"/>
  <c r="N37" i="7"/>
  <c r="N106" i="7"/>
  <c r="N23" i="8"/>
  <c r="N95" i="7"/>
  <c r="N48" i="8"/>
  <c r="O36" i="7"/>
  <c r="G17" i="24"/>
  <c r="N13" i="8"/>
  <c r="N18" i="8"/>
  <c r="O88" i="7"/>
  <c r="N98" i="7"/>
  <c r="L6" i="8"/>
  <c r="N61" i="7"/>
  <c r="G18" i="24"/>
  <c r="M60" i="7"/>
  <c r="L15" i="24"/>
  <c r="N78" i="7"/>
  <c r="O32" i="7"/>
  <c r="K17" i="21"/>
  <c r="G38" i="24"/>
  <c r="M33" i="7"/>
  <c r="O112" i="7"/>
  <c r="N14" i="7"/>
  <c r="M7" i="7"/>
  <c r="L52" i="8"/>
  <c r="N7" i="7"/>
  <c r="N26" i="7"/>
  <c r="G21" i="24"/>
  <c r="L29" i="24"/>
  <c r="L12" i="8"/>
  <c r="G7" i="24"/>
  <c r="M11" i="8"/>
  <c r="O72" i="7"/>
  <c r="L8" i="24"/>
  <c r="L4" i="29"/>
  <c r="F5" i="15"/>
  <c r="M72" i="7"/>
  <c r="N36" i="7"/>
  <c r="L36" i="24"/>
  <c r="O14" i="7"/>
  <c r="M55" i="8"/>
  <c r="L11" i="29"/>
  <c r="O79" i="7"/>
  <c r="L53" i="8"/>
  <c r="M31" i="8"/>
  <c r="K15" i="21"/>
  <c r="N24" i="8"/>
  <c r="F3" i="15"/>
  <c r="G6" i="24"/>
  <c r="M78" i="7"/>
  <c r="O48" i="7"/>
  <c r="M24" i="7"/>
  <c r="K5" i="21"/>
  <c r="L4" i="24"/>
  <c r="N33" i="8"/>
  <c r="K9" i="21"/>
  <c r="M115" i="7"/>
  <c r="M8" i="8"/>
  <c r="L39" i="24"/>
  <c r="O111" i="7"/>
  <c r="N100" i="7"/>
  <c r="K11" i="21"/>
  <c r="N120" i="7"/>
  <c r="N52" i="7"/>
  <c r="N40" i="7"/>
  <c r="L21" i="24"/>
  <c r="G37" i="24"/>
  <c r="N81" i="7"/>
  <c r="L50" i="8"/>
  <c r="M18" i="8"/>
  <c r="N7" i="8"/>
  <c r="N107" i="7"/>
  <c r="M100" i="7"/>
  <c r="N27" i="8"/>
  <c r="N108" i="7"/>
  <c r="O47" i="7"/>
  <c r="N13" i="7"/>
  <c r="N25" i="8"/>
  <c r="K6" i="21"/>
  <c r="N88" i="7"/>
  <c r="O99" i="7"/>
  <c r="G33" i="24"/>
  <c r="O52" i="7"/>
  <c r="O53" i="7"/>
  <c r="F9" i="15"/>
  <c r="G27" i="24"/>
  <c r="O38" i="7"/>
  <c r="O43" i="7"/>
  <c r="N80" i="7"/>
  <c r="L22" i="24"/>
  <c r="M25" i="8"/>
  <c r="M61" i="7"/>
  <c r="M54" i="8"/>
  <c r="N87" i="7"/>
  <c r="N12" i="8"/>
  <c r="N89" i="7"/>
  <c r="L40" i="24"/>
  <c r="M58" i="7"/>
  <c r="M7" i="8"/>
  <c r="M22" i="7"/>
  <c r="M94" i="7"/>
  <c r="N53" i="8"/>
  <c r="M19" i="8"/>
  <c r="M112" i="7"/>
  <c r="O73" i="7"/>
  <c r="N52" i="8"/>
  <c r="M118" i="7"/>
  <c r="O41" i="7"/>
  <c r="O109" i="7"/>
  <c r="N85" i="7"/>
  <c r="N113" i="7"/>
  <c r="O24" i="7"/>
  <c r="L35" i="24"/>
  <c r="M50" i="7"/>
  <c r="M44" i="7"/>
  <c r="M28" i="7"/>
  <c r="N110" i="7"/>
  <c r="L29" i="8"/>
  <c r="O115" i="7"/>
  <c r="M117" i="7"/>
  <c r="N6" i="7"/>
  <c r="L33" i="8"/>
  <c r="O118" i="7"/>
  <c r="M32" i="7"/>
  <c r="N116" i="7"/>
  <c r="L41" i="24"/>
  <c r="G25" i="24"/>
  <c r="N115" i="7"/>
  <c r="M116" i="7"/>
  <c r="N21" i="8"/>
  <c r="M40" i="7"/>
  <c r="N25" i="7"/>
  <c r="F6" i="15"/>
  <c r="O30" i="7"/>
  <c r="N6" i="8"/>
  <c r="L33" i="24"/>
  <c r="N38" i="7"/>
  <c r="O89" i="7"/>
  <c r="N54" i="8"/>
  <c r="N111" i="7"/>
  <c r="O87" i="7"/>
  <c r="O90" i="7"/>
  <c r="L16" i="24"/>
  <c r="L19" i="24"/>
  <c r="M28" i="8"/>
  <c r="L12" i="24"/>
  <c r="O13" i="7"/>
  <c r="O22" i="7"/>
  <c r="L25" i="8"/>
  <c r="M114" i="7"/>
  <c r="M107" i="7"/>
  <c r="L3" i="29"/>
  <c r="L54" i="8"/>
  <c r="L7" i="29"/>
  <c r="N43" i="8"/>
  <c r="O92" i="7"/>
  <c r="F4" i="15"/>
  <c r="N22" i="7"/>
  <c r="O95" i="7"/>
  <c r="M12" i="7"/>
  <c r="M59" i="7"/>
  <c r="O28" i="7"/>
  <c r="M52" i="8"/>
  <c r="K14" i="21"/>
  <c r="L13" i="24"/>
  <c r="O25" i="7"/>
  <c r="O93" i="7"/>
  <c r="G35" i="24"/>
  <c r="M85" i="7"/>
  <c r="G8" i="24"/>
  <c r="M9" i="8"/>
  <c r="G20" i="24"/>
  <c r="M15" i="7"/>
  <c r="N51" i="7"/>
  <c r="O27" i="7"/>
  <c r="M30" i="7"/>
  <c r="N2" i="8"/>
  <c r="O51" i="7"/>
  <c r="M48" i="8"/>
  <c r="O54" i="7"/>
  <c r="N99" i="7"/>
  <c r="L9" i="8"/>
  <c r="K10" i="21"/>
  <c r="F10" i="15"/>
  <c r="O94" i="7"/>
  <c r="M21" i="8"/>
  <c r="N49" i="7"/>
  <c r="O98" i="7"/>
  <c r="M36" i="7"/>
  <c r="L17" i="24"/>
  <c r="G28" i="24"/>
  <c r="G4" i="24"/>
  <c r="O7" i="7"/>
  <c r="L3" i="24"/>
  <c r="O6" i="7"/>
  <c r="G19" i="24"/>
  <c r="N31" i="8"/>
  <c r="M13" i="7"/>
  <c r="O119" i="7"/>
  <c r="O46" i="7"/>
  <c r="L8" i="29"/>
  <c r="N11" i="8"/>
  <c r="G10" i="24"/>
  <c r="G3" i="24"/>
  <c r="G34" i="24"/>
  <c r="O113" i="7"/>
  <c r="N19" i="8"/>
  <c r="M15" i="8"/>
  <c r="O60" i="7"/>
  <c r="N49" i="8"/>
  <c r="N4" i="8"/>
  <c r="N29" i="7"/>
  <c r="N105" i="7"/>
  <c r="M111" i="7"/>
  <c r="L23" i="24"/>
  <c r="M6" i="8"/>
  <c r="L20" i="24"/>
  <c r="L34" i="24"/>
  <c r="M99" i="7"/>
  <c r="L17" i="29"/>
  <c r="M53" i="8"/>
  <c r="L40" i="8"/>
  <c r="L8" i="8"/>
  <c r="M29" i="7"/>
  <c r="O114" i="7"/>
  <c r="N15" i="7"/>
  <c r="O33" i="7"/>
  <c r="J18" i="27" l="1"/>
  <c r="J18" i="29"/>
  <c r="K18" i="27"/>
  <c r="K18" i="28"/>
  <c r="J18" i="28"/>
  <c r="J18" i="24"/>
  <c r="K18" i="24"/>
  <c r="K18" i="29"/>
  <c r="O27" i="24"/>
  <c r="J19" i="29"/>
  <c r="J19" i="27"/>
  <c r="K19" i="29"/>
  <c r="J19" i="28"/>
  <c r="K19" i="24"/>
  <c r="K19" i="28"/>
  <c r="J19" i="24"/>
  <c r="K19" i="27"/>
  <c r="J13" i="28"/>
  <c r="K13" i="29"/>
  <c r="J13" i="29"/>
  <c r="K13" i="28"/>
  <c r="K13" i="27"/>
  <c r="K13" i="24"/>
  <c r="J13" i="27"/>
  <c r="J13" i="24"/>
  <c r="G9" i="15"/>
  <c r="O3" i="24"/>
  <c r="I4" i="24"/>
  <c r="I5" i="24" s="1"/>
  <c r="I6" i="24" s="1"/>
  <c r="I7" i="24" s="1"/>
  <c r="G6" i="15"/>
  <c r="H9" i="15"/>
  <c r="H10" i="15" s="1"/>
  <c r="H11" i="15" s="1"/>
  <c r="H12" i="15" s="1"/>
  <c r="K22" i="28"/>
  <c r="J22" i="28"/>
  <c r="K22" i="24"/>
  <c r="J22" i="29"/>
  <c r="J22" i="24"/>
  <c r="J22" i="27"/>
  <c r="K22" i="29"/>
  <c r="K22" i="27"/>
  <c r="H10" i="24"/>
  <c r="H5" i="24"/>
  <c r="H25" i="24"/>
  <c r="H18" i="24"/>
  <c r="H19" i="24"/>
  <c r="K16" i="24"/>
  <c r="K16" i="27"/>
  <c r="K17" i="27"/>
  <c r="K16" i="29"/>
  <c r="K16" i="28"/>
  <c r="J17" i="29"/>
  <c r="K17" i="29"/>
  <c r="J17" i="24"/>
  <c r="J17" i="28"/>
  <c r="K17" i="28"/>
  <c r="K17" i="24"/>
  <c r="H24" i="24"/>
  <c r="O24" i="24"/>
  <c r="H4" i="24"/>
  <c r="H6" i="24"/>
  <c r="H22" i="24"/>
  <c r="K14" i="24"/>
  <c r="J14" i="27"/>
  <c r="K14" i="27"/>
  <c r="J14" i="29"/>
  <c r="J14" i="28"/>
  <c r="K14" i="28"/>
  <c r="K14" i="29"/>
  <c r="J14" i="24"/>
  <c r="H4" i="15"/>
  <c r="H5" i="15" s="1"/>
  <c r="H6" i="15" s="1"/>
  <c r="H7" i="15" s="1"/>
  <c r="H17" i="24"/>
  <c r="O13" i="24"/>
  <c r="G10" i="15"/>
  <c r="H9" i="24"/>
  <c r="G12" i="15"/>
  <c r="J16" i="24"/>
  <c r="J16" i="27"/>
  <c r="J16" i="28"/>
  <c r="J16" i="29"/>
  <c r="J17" i="27"/>
  <c r="G5" i="15"/>
  <c r="K21" i="28"/>
  <c r="J21" i="28"/>
  <c r="K21" i="24"/>
  <c r="K21" i="27"/>
  <c r="J21" i="24"/>
  <c r="J21" i="27"/>
  <c r="K21" i="29"/>
  <c r="J21" i="29"/>
  <c r="H11" i="24"/>
  <c r="H20" i="24"/>
  <c r="H7" i="24"/>
  <c r="I9" i="24"/>
  <c r="I10" i="24" s="1"/>
  <c r="I11" i="24" s="1"/>
  <c r="I12" i="24" s="1"/>
  <c r="O8" i="24"/>
  <c r="H21" i="24"/>
  <c r="K15" i="28"/>
  <c r="K15" i="27"/>
  <c r="K15" i="29"/>
  <c r="J15" i="24"/>
  <c r="J15" i="28"/>
  <c r="J15" i="29"/>
  <c r="K15" i="24"/>
  <c r="J15" i="27"/>
  <c r="K20" i="27"/>
  <c r="K20" i="24"/>
  <c r="J20" i="27"/>
  <c r="J20" i="24"/>
  <c r="K20" i="29"/>
  <c r="J20" i="29"/>
  <c r="K20" i="28"/>
  <c r="J20" i="28"/>
  <c r="H12" i="24"/>
  <c r="G11" i="15"/>
  <c r="G7" i="15"/>
  <c r="G4" i="15"/>
  <c r="K23" i="29"/>
  <c r="K23" i="27"/>
  <c r="K23" i="28"/>
  <c r="K23"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6"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39"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I125"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I126"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G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<sst xmlns="http://schemas.openxmlformats.org/spreadsheetml/2006/main" count="2836" uniqueCount="853">
  <si>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</si>
  <si>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</si>
  <si>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</si>
  <si>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</si>
  <si>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</si>
  <si>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</si>
  <si>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</si>
  <si>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</si>
  <si>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</si>
  <si>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</si>
  <si>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</si>
  <si>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</si>
  <si>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</si>
  <si>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</si>
  <si>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</si>
  <si>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</si>
  <si>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</si>
  <si>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</si>
  <si>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</si>
  <si>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</si>
  <si>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</si>
  <si>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</si>
  <si>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</si>
  <si>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</si>
  <si>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</si>
  <si>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</si>
  <si>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</si>
  <si>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</si>
  <si>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</si>
  <si>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</si>
  <si>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</si>
  <si>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</si>
  <si>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</si>
  <si>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</si>
  <si>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</si>
  <si>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</si>
  <si>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</si>
  <si>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</si>
  <si>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</si>
  <si>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</si>
  <si>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</si>
  <si>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</si>
  <si>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</si>
  <si>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</si>
  <si>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</si>
  <si>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</si>
  <si>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</si>
  <si>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</si>
  <si>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</si>
  <si>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</si>
  <si>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</si>
  <si>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</si>
  <si>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</si>
  <si>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</si>
  <si>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</si>
  <si>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</si>
  <si>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</si>
  <si>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</si>
  <si>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</si>
  <si>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</si>
  <si>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</si>
  <si>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</si>
  <si>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</si>
  <si>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</si>
  <si>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</si>
  <si>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</si>
  <si>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</si>
  <si>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</si>
  <si>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</si>
  <si>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</si>
  <si>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</si>
  <si>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</si>
  <si>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</si>
  <si>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</si>
  <si>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</si>
  <si>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</si>
  <si>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</si>
  <si>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</si>
  <si>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</si>
  <si>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</si>
  <si>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</si>
  <si>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</si>
  <si>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</si>
  <si>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</si>
  <si>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</si>
  <si>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</si>
  <si>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</si>
  <si>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</si>
  <si>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</si>
  <si>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</si>
  <si>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</si>
  <si>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</si>
  <si>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</si>
  <si>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</si>
  <si>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</si>
  <si>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</si>
  <si>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</si>
  <si>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</si>
  <si>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</si>
  <si>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</si>
  <si>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</si>
  <si>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</si>
  <si>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</si>
  <si>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</si>
  <si>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</si>
  <si>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</si>
  <si>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</si>
  <si>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</si>
  <si>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</si>
  <si>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</si>
  <si>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</si>
  <si>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</si>
  <si>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</si>
  <si>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</si>
  <si>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</si>
  <si>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</si>
  <si>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</si>
  <si>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</si>
  <si>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</si>
  <si>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</si>
  <si>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</si>
  <si>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</si>
  <si>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</si>
  <si>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</si>
  <si>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</si>
  <si>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</si>
  <si>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</si>
  <si>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</si>
  <si>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</si>
  <si>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</si>
  <si>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</si>
  <si>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</si>
  <si>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</si>
  <si>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</si>
  <si>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</si>
  <si>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</si>
  <si>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</si>
  <si>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</si>
  <si>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</si>
  <si>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</si>
  <si>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</si>
  <si>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</si>
  <si>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</si>
  <si>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</si>
  <si>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</si>
  <si>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</si>
  <si>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</si>
  <si>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</si>
  <si>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</si>
  <si>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</si>
  <si>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</si>
  <si>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</si>
  <si>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</si>
  <si>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</si>
  <si>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</si>
  <si>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</si>
  <si>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</si>
  <si>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</si>
  <si>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</si>
  <si>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</si>
  <si>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</si>
  <si>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</si>
  <si>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</si>
  <si>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</si>
  <si>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</si>
  <si>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</si>
  <si>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</si>
  <si>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</si>
  <si>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</si>
  <si>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</si>
  <si>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</si>
  <si>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</si>
  <si>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</si>
  <si>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</si>
  <si>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</si>
  <si>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</si>
  <si>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</si>
  <si>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</si>
  <si>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</si>
  <si>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</si>
  <si>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</si>
  <si>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</si>
  <si>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</si>
  <si>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</si>
  <si>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</si>
  <si>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</si>
  <si>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</si>
  <si>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</si>
  <si>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</si>
  <si>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</si>
  <si>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</si>
  <si>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</si>
  <si>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</si>
  <si>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</si>
  <si>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</si>
  <si>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</si>
  <si>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</si>
  <si>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</si>
  <si>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</si>
  <si>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</si>
  <si>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</si>
  <si>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</si>
  <si>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</si>
  <si>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</si>
  <si>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</si>
  <si>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</si>
  <si>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</si>
  <si>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</si>
  <si>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</si>
  <si>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</si>
  <si>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</si>
  <si>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</si>
  <si>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</si>
  <si>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</si>
  <si>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</si>
  <si>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</si>
  <si>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</si>
  <si>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</si>
  <si>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</si>
  <si>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</si>
  <si>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</si>
  <si>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</si>
  <si>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</si>
  <si>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</si>
  <si>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</si>
  <si>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</si>
  <si>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</si>
  <si>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</si>
  <si>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</si>
  <si>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</si>
  <si>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</si>
  <si>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</si>
  <si>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</si>
  <si>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</si>
  <si>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</si>
  <si>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</si>
  <si>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</si>
  <si>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</si>
  <si>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</si>
  <si>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</si>
  <si>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</si>
  <si>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</si>
  <si>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</si>
  <si>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</si>
  <si>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</si>
  <si>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</si>
  <si>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</si>
  <si>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</si>
  <si>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</si>
  <si>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</si>
  <si>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</si>
  <si>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</si>
  <si>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</si>
  <si>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</si>
  <si>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</si>
  <si>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</si>
  <si>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</si>
  <si>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</si>
  <si>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</si>
  <si>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</si>
  <si>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</si>
  <si>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</si>
  <si>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</si>
  <si>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</si>
  <si>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</si>
  <si>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</si>
  <si>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</si>
  <si>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</si>
  <si>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</si>
  <si>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</si>
  <si>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</si>
  <si>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</si>
  <si>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</si>
  <si>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</si>
  <si>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</si>
  <si>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</si>
  <si>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</si>
  <si>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</si>
  <si>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</si>
  <si>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</si>
  <si>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</si>
  <si>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</si>
  <si>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</si>
  <si>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</si>
  <si>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</si>
  <si>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</si>
  <si>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</si>
  <si>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</si>
  <si>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</si>
  <si>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</si>
  <si>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</si>
  <si>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</si>
  <si>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</si>
  <si>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</si>
  <si>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</si>
  <si>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</si>
  <si>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</si>
  <si>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</si>
  <si>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</si>
  <si>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</si>
  <si>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</si>
  <si>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</si>
  <si>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</si>
  <si>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</si>
  <si>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</si>
  <si>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</si>
  <si>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</si>
  <si>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</si>
  <si>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</si>
  <si>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</si>
  <si>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</si>
  <si>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</si>
  <si>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</si>
  <si>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</si>
  <si>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</si>
  <si>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</si>
  <si>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</si>
  <si>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</si>
  <si>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</si>
  <si>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</si>
  <si>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</si>
  <si>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</si>
  <si>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</si>
  <si>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</si>
  <si>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</si>
  <si>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</si>
  <si>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</si>
  <si>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</si>
  <si>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</si>
  <si>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</si>
  <si>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</si>
  <si>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</si>
  <si>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</si>
  <si>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</si>
  <si>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</si>
  <si>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</si>
  <si>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</si>
  <si>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</si>
  <si>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</si>
  <si>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</si>
  <si>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</si>
  <si>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</si>
  <si>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</si>
  <si>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</si>
  <si>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</si>
  <si>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</si>
  <si>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</si>
  <si>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</si>
  <si>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</si>
  <si>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</si>
  <si>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</si>
  <si>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</si>
  <si>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</si>
  <si>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</si>
  <si>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</si>
  <si>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</si>
  <si>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</si>
  <si>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</si>
  <si>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</si>
  <si>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</si>
  <si>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</si>
  <si>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</si>
  <si>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</si>
  <si>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</si>
  <si>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</si>
  <si>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</si>
  <si>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</si>
  <si>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</si>
  <si>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</si>
  <si>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</si>
  <si>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</si>
  <si>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</si>
  <si>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</si>
  <si>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</si>
  <si>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</si>
  <si>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</si>
  <si>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</si>
  <si>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</si>
  <si>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</si>
  <si>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</si>
  <si>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</si>
  <si>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</si>
  <si>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</si>
  <si>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</si>
  <si>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</si>
  <si>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</si>
  <si>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</si>
  <si>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</si>
  <si>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</si>
  <si>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</si>
  <si>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</si>
  <si>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</si>
  <si>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</si>
  <si>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</si>
  <si>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</si>
  <si>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</si>
  <si>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</si>
  <si>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</si>
  <si>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</si>
  <si>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</si>
  <si>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</si>
  <si>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</si>
  <si>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</si>
  <si>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</si>
  <si>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</si>
  <si>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</si>
  <si>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</si>
  <si>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</si>
  <si>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</si>
  <si>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</si>
  <si>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</si>
  <si>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</si>
  <si>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</si>
  <si>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</si>
  <si>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</si>
  <si>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</si>
  <si>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</si>
  <si>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</si>
  <si>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</si>
  <si>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</si>
  <si>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</si>
  <si>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</si>
  <si>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</si>
  <si>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</si>
  <si>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</si>
  <si>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</si>
  <si>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</si>
  <si>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</si>
  <si>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</si>
  <si>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</si>
  <si>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</si>
  <si>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</si>
  <si>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</si>
  <si>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</si>
  <si>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</si>
  <si>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</si>
  <si>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</si>
  <si>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</si>
  <si>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</si>
  <si>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</si>
  <si>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</si>
  <si>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</si>
  <si>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</si>
  <si>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</si>
  <si>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</si>
  <si>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</si>
  <si>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</si>
  <si>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</si>
  <si>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</si>
  <si>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</si>
  <si>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</si>
  <si>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</si>
  <si>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</si>
  <si>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</si>
  <si>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</si>
  <si>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</si>
  <si>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</si>
  <si>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</si>
  <si>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</si>
  <si>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</si>
  <si>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</si>
  <si>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</si>
  <si>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</si>
  <si>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</si>
  <si>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</si>
  <si>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</si>
  <si>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</si>
  <si>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</si>
  <si>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</si>
  <si>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</si>
  <si>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</si>
  <si>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</si>
  <si>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</si>
  <si>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</si>
  <si>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</si>
  <si>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</si>
  <si>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</si>
  <si>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</si>
  <si>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</si>
  <si>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</si>
  <si>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</si>
  <si>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</si>
  <si>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</si>
  <si>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</si>
  <si>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</si>
  <si>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</si>
  <si>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</si>
  <si>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</si>
  <si>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</si>
  <si>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</si>
  <si>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</si>
  <si>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</si>
  <si>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</si>
  <si>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</si>
  <si>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</si>
  <si>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</si>
  <si>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</si>
  <si>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</si>
  <si>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</si>
  <si>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</si>
  <si>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</si>
  <si>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</si>
  <si>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</si>
  <si>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</si>
  <si>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</si>
  <si>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</si>
  <si>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</si>
  <si>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</si>
  <si>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</si>
  <si>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</si>
  <si>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</si>
  <si>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</si>
  <si>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</si>
  <si>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</si>
  <si>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</si>
  <si>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</si>
  <si>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</si>
  <si>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</si>
  <si>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</si>
  <si>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</si>
  <si>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</si>
  <si>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</si>
  <si>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</si>
  <si>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</si>
  <si>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</si>
  <si>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</si>
  <si>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</si>
  <si>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</si>
  <si>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</si>
  <si>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</si>
  <si>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</si>
  <si>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</si>
  <si>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</si>
  <si>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</si>
  <si>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</si>
  <si>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</si>
  <si>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</si>
  <si>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</si>
  <si>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</si>
  <si>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</si>
  <si>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</si>
  <si>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</si>
  <si>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</si>
  <si>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</si>
  <si>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</si>
  <si>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</si>
  <si>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</si>
  <si>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</si>
  <si>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</si>
  <si>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</si>
  <si>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</si>
  <si>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</si>
  <si>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</si>
  <si>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</si>
  <si>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</si>
  <si>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</si>
  <si>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</si>
  <si>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</si>
  <si>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</si>
  <si>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</si>
  <si>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</si>
  <si>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</si>
  <si>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</si>
  <si>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</si>
  <si>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</si>
  <si>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</si>
  <si>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</si>
  <si>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</si>
  <si>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</si>
  <si>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</si>
  <si>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</si>
  <si>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</si>
  <si>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</si>
  <si>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</si>
  <si>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</si>
  <si>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</si>
  <si>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</si>
  <si>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</si>
  <si>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</si>
  <si>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</si>
  <si>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</si>
  <si>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</si>
  <si>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</si>
  <si>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</si>
  <si>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</si>
  <si>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</si>
  <si>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</si>
  <si>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</si>
  <si>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</si>
  <si>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</si>
  <si>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</si>
  <si>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</si>
  <si>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</si>
  <si>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</si>
  <si>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</si>
  <si>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</si>
  <si>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</si>
  <si>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</si>
  <si>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</si>
  <si>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</si>
  <si>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</si>
  <si>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</si>
  <si>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</si>
  <si>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</si>
  <si>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</si>
  <si>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</si>
  <si>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</si>
  <si>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</si>
  <si>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</si>
  <si>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</si>
  <si>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</si>
  <si>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</si>
  <si>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</si>
  <si>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</si>
  <si>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</si>
  <si>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</si>
  <si>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</si>
  <si>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</si>
  <si>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</si>
  <si>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</si>
  <si>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</si>
  <si>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</si>
  <si>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</si>
  <si>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</si>
  <si>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</si>
  <si>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</si>
  <si>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</si>
  <si>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</si>
  <si>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</si>
  <si>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</si>
  <si>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</si>
  <si>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</si>
  <si>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</si>
  <si>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</si>
  <si>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</si>
  <si>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</si>
  <si>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</si>
  <si>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</si>
  <si>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</si>
  <si>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</si>
  <si>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</si>
  <si>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</si>
  <si>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</si>
  <si>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</si>
  <si>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</si>
  <si>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</si>
  <si>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</si>
  <si>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</si>
  <si>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</si>
  <si>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</si>
  <si>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</si>
  <si>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</si>
  <si>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</si>
  <si>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</si>
  <si>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</si>
  <si>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</si>
  <si>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</si>
  <si>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</si>
  <si>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</si>
  <si>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</si>
  <si>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</si>
  <si>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</si>
  <si>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</si>
  <si>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</si>
  <si>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</si>
  <si>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</si>
  <si>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</si>
  <si>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</si>
  <si>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locked by OEM when out of manufacturing</t>
  </si>
  <si>
    <t>This is IFP fuses pulled by HW, and locked by end-user to force disable TRC HIP through the FW update in the field.</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</si>
  <si>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</si>
  <si>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</si>
  <si>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</si>
  <si>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</si>
  <si>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</si>
  <si>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</si>
  <si>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</si>
  <si>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</si>
  <si>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</si>
  <si>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</si>
  <si>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</si>
  <si>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IP_Cfg_Fuse_119_118</t>
  </si>
  <si>
    <t>Included DCN - Support Push model for fuses for integrated GSC [https://hsdes.intel.com/appstore/article/#/14010939545]</t>
  </si>
  <si>
    <t>Removed PUF fuse in ESE</t>
  </si>
  <si>
    <t>SBWr</t>
  </si>
  <si>
    <t>FW_IFP_GENERAL</t>
  </si>
  <si>
    <t>PARAM_REPAIR_FUSE_SUPPORT_EN</t>
  </si>
  <si>
    <t>ROM_INT_FUSE_PULL &amp; PARAM_FUSE_SUPPORT_EN</t>
  </si>
  <si>
    <t>RF_FUSE_INT_PULL &amp; PARAM_FUSE_SUPPORT_EN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</si>
  <si>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</si>
  <si>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</si>
  <si>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</si>
  <si>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</si>
  <si>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</si>
  <si>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</si>
  <si>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</si>
  <si>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</si>
  <si>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</si>
  <si>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</si>
  <si>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</si>
  <si>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</si>
  <si>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</si>
  <si>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</si>
  <si>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</si>
  <si>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</si>
  <si>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</si>
  <si>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</si>
  <si>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</si>
  <si>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</si>
  <si>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</si>
  <si>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</si>
  <si>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</si>
  <si>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</si>
  <si>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</si>
  <si>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</si>
  <si>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</si>
  <si>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</si>
  <si>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</si>
  <si>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</si>
  <si>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RNG Disable,1'b1; 
RNG Enable,1'b0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</si>
  <si>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</si>
  <si>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</si>
  <si>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</si>
  <si>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</si>
  <si>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</si>
  <si>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</si>
  <si>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</si>
  <si>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</si>
  <si>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</si>
  <si>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</si>
  <si>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</si>
  <si>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</si>
  <si>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</si>
  <si>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</si>
  <si>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</si>
  <si>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</si>
  <si>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</si>
  <si>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</si>
  <si>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</si>
  <si>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</si>
  <si>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</si>
  <si>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</si>
  <si>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</si>
  <si>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</si>
  <si>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</si>
  <si>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</si>
  <si>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</si>
  <si>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</si>
  <si>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</si>
  <si>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</si>
  <si>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</si>
  <si>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</si>
  <si>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</si>
  <si>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</si>
  <si>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</si>
  <si>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</si>
  <si>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</si>
  <si>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CSE ONDIE CA Disabled, 1'b1; CSE ONDIE CA Enabled,1'b0</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</si>
  <si>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</si>
  <si>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</si>
  <si>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</si>
  <si>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</si>
  <si>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</si>
  <si>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</si>
  <si>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</si>
  <si>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</si>
  <si>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</si>
  <si>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</si>
  <si>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</si>
  <si>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</si>
  <si>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</si>
  <si>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</si>
  <si>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</si>
  <si>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</si>
  <si>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</si>
  <si>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</si>
  <si>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</si>
  <si>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</si>
  <si>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</si>
  <si>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</si>
  <si>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</si>
  <si>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</si>
  <si>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</si>
  <si>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</si>
  <si>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</si>
  <si>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</si>
  <si>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</si>
  <si>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</si>
  <si>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</si>
  <si>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</si>
  <si>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</si>
  <si>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</si>
  <si>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</si>
  <si>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</si>
  <si>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</si>
  <si>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</si>
  <si>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</si>
  <si>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</si>
  <si>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</si>
  <si>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</si>
  <si>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</si>
  <si>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</si>
  <si>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</si>
  <si>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</si>
  <si>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</si>
  <si>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</si>
  <si>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</si>
  <si>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CSE Cfg Fuse 127 zero,1'b0</t>
  </si>
  <si>
    <t>Default Value, 32'b0;OEM Keys,32'hx;</t>
  </si>
  <si>
    <t>CSE Cfg Fuse 9 zero,1'b0</t>
  </si>
  <si>
    <t>CSE Cfg Fuse 87_85 zero,1'b0</t>
  </si>
  <si>
    <t>CSE Cfg Fuse 101 zero,1'b0</t>
  </si>
  <si>
    <t>CSE Cfg Fuse 119_118 zero,1'b0</t>
  </si>
  <si>
    <t>Value</t>
  </si>
  <si>
    <t>CSE Cfg Fuse 4 zero,1'b0</t>
  </si>
  <si>
    <t>CSE Cfg Fuse 5 zero,1'b0</t>
  </si>
  <si>
    <t>CSE Cfg Fuse 10 zero,1'b0</t>
  </si>
  <si>
    <t>CSE Cfg Fuse 11 zero,1'b0</t>
  </si>
  <si>
    <t>CSE Cfg Fuse 12 zero,1'b0</t>
  </si>
  <si>
    <t>CSE Cfg Fuse 13 zero,1'b0</t>
  </si>
  <si>
    <t>CSE Cfg Fuse 15 zero,1'b0</t>
  </si>
  <si>
    <t>CSE Cfg Fuse 25 zero,1'b0</t>
  </si>
  <si>
    <t>CSE Cfg Fuse 32 zero,1'b0</t>
  </si>
  <si>
    <t>CSE Cfg Fuse 33 zero,1'b0</t>
  </si>
  <si>
    <t>CSE Cfg Fuse 34 zero,1'b0</t>
  </si>
  <si>
    <t>CSE Cfg Fuse 36 zero,1'b0</t>
  </si>
  <si>
    <t>CSE Cfg Fuse 48 zero,1'b0</t>
  </si>
  <si>
    <t>CSE Cfg Fuse 49 zero,1'b0</t>
  </si>
  <si>
    <t>CSE Cfg Fuse 50 zero,1'b0</t>
  </si>
  <si>
    <t>CSE Cfg Fuse 51 zero,1'b0</t>
  </si>
  <si>
    <t>CSE Cfg Fuse 52 zero,1'b0</t>
  </si>
  <si>
    <t>CSE Cfg Fuse 53 zero,1'b0</t>
  </si>
  <si>
    <t>CSE Cfg Fuse 55_54 zero,1'b0</t>
  </si>
  <si>
    <t>CSE Cfg Fuse 79 zero,1'b0</t>
  </si>
  <si>
    <t>CSE Cfg Fuse 80 zero,1'b0</t>
  </si>
  <si>
    <t>CSE Cfg Fuse 96 zero,1'b0</t>
  </si>
  <si>
    <t>CSE Cfg Fuse 97 zero,1'b0</t>
  </si>
  <si>
    <t>CSE Cfg Fuse 98 zero,1'b0</t>
  </si>
  <si>
    <t>CSE Cfg Fuse 102 zero,1'b0</t>
  </si>
  <si>
    <t>CSE Cfg Fuse 103 zero,1'b0</t>
  </si>
  <si>
    <t>CSE Cfg Fuse 111_105 zero,1'b0</t>
  </si>
  <si>
    <t>CSE Cfg Fuse 112 zero,1'b0</t>
  </si>
  <si>
    <t>CSE Cfg Fuse 114 zero,1'b0</t>
  </si>
  <si>
    <t>CSE Cfg Fuse 115 zero,1'b0</t>
  </si>
  <si>
    <t>CSE Cfg Fuse 116 zero,1'b0</t>
  </si>
  <si>
    <t>CSE Cfg Fuse 117 zero,1'b0</t>
  </si>
  <si>
    <t>CSE Cfg Fuse 126_122 zero,1'b0</t>
  </si>
  <si>
    <t>RNG Disable,1'b0; 
RNG Enable,1'b1</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</si>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</sst>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s>
  <borders count="5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s>
  <cellStyleXfs count="1">
    <xf numFmtId="0" fontId="0" fillId="0" borderId="0"/>
  </cellStyleXfs>
  <cellXfs count="22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0" fillId="0" borderId="21" xfId="0" applyBorder="1" applyAlignment="1">
      <alignment horizontal="left" vertical="center" wrapText="1"/>
    </xf>
    <xf numFmtId="0" fontId="0" fillId="6" borderId="22" xfId="0" applyFill="1" applyBorder="1" applyAlignment="1">
      <alignment horizontal="left" vertical="center" wrapText="1"/>
    </xf>
    <xf numFmtId="0" fontId="7" fillId="7" borderId="6" xfId="0" applyFont="1" applyFill="1" applyBorder="1" applyAlignment="1">
      <alignment vertical="center"/>
    </xf>
    <xf numFmtId="0" fontId="0" fillId="0" borderId="25" xfId="0" applyBorder="1"/>
    <xf numFmtId="0" fontId="0" fillId="0" borderId="26" xfId="0" applyBorder="1"/>
    <xf numFmtId="0" fontId="0" fillId="0" borderId="27" xfId="0" applyBorder="1"/>
    <xf numFmtId="0" fontId="0" fillId="0" borderId="28" xfId="0" applyBorder="1"/>
    <xf numFmtId="0" fontId="0" fillId="3" borderId="25" xfId="0" applyFill="1" applyBorder="1"/>
    <xf numFmtId="0" fontId="0" fillId="3" borderId="27" xfId="0" applyFill="1" applyBorder="1"/>
    <xf numFmtId="0" fontId="7" fillId="7" borderId="32"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6" xfId="0" applyBorder="1"/>
    <xf numFmtId="0" fontId="0" fillId="0" borderId="31" xfId="0" applyBorder="1"/>
    <xf numFmtId="0" fontId="0" fillId="6" borderId="22" xfId="0" applyFill="1" applyBorder="1"/>
    <xf numFmtId="0" fontId="0" fillId="0" borderId="37" xfId="0" applyBorder="1"/>
    <xf numFmtId="0" fontId="0" fillId="0" borderId="38" xfId="0" applyBorder="1"/>
    <xf numFmtId="0" fontId="0" fillId="0" borderId="35" xfId="0" applyFill="1" applyBorder="1"/>
    <xf numFmtId="0" fontId="0" fillId="0" borderId="35" xfId="0" applyBorder="1" applyAlignment="1">
      <alignment horizontal="left" vertical="center" wrapText="1"/>
    </xf>
    <xf numFmtId="0" fontId="0" fillId="0" borderId="22" xfId="0" applyBorder="1" applyAlignment="1">
      <alignment horizontal="left" vertical="center" wrapText="1"/>
    </xf>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41" xfId="0" applyFont="1" applyFill="1" applyBorder="1" applyAlignment="1">
      <alignment vertical="center"/>
    </xf>
    <xf numFmtId="0" fontId="7" fillId="7" borderId="42" xfId="0" applyFont="1" applyFill="1" applyBorder="1" applyAlignment="1">
      <alignment vertical="center"/>
    </xf>
    <xf numFmtId="0" fontId="0" fillId="0" borderId="44" xfId="0" applyBorder="1"/>
    <xf numFmtId="0" fontId="0" fillId="0" borderId="40" xfId="0" applyBorder="1"/>
    <xf numFmtId="0" fontId="0" fillId="6" borderId="27" xfId="0" applyFill="1" applyBorder="1"/>
    <xf numFmtId="0" fontId="0" fillId="0" borderId="36"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36" xfId="0"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5" xfId="0" applyBorder="1"/>
    <xf numFmtId="0" fontId="0" fillId="0" borderId="29" xfId="0" applyFill="1" applyBorder="1"/>
    <xf numFmtId="0" fontId="0" fillId="0" borderId="29" xfId="0" applyBorder="1" applyAlignment="1">
      <alignment horizontal="left" vertical="center" wrapText="1"/>
    </xf>
    <xf numFmtId="0" fontId="0" fillId="0" borderId="46" xfId="0" applyBorder="1"/>
    <xf numFmtId="0" fontId="0" fillId="0" borderId="47" xfId="0" applyBorder="1"/>
    <xf numFmtId="0" fontId="0" fillId="0" borderId="3" xfId="0" applyBorder="1" applyAlignment="1">
      <alignment horizontal="center" vertical="center" wrapText="1"/>
    </xf>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3" xfId="0" applyFont="1" applyFill="1" applyBorder="1" applyAlignment="1">
      <alignment horizontal="center" vertical="center"/>
    </xf>
    <xf numFmtId="0" fontId="0" fillId="0" borderId="8" xfId="0" applyBorder="1" applyAlignment="1">
      <alignment horizontal="center" vertical="center" wrapText="1"/>
    </xf>
    <xf numFmtId="0" fontId="0" fillId="0" borderId="13"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0" fillId="8" borderId="2" xfId="0" applyFill="1"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8"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0" borderId="0" xfId="0" applyAlignment="1">
      <alignment wrapText="1"/>
    </xf>
    <xf numFmtId="0" fontId="0" fillId="13" borderId="0" xfId="0" applyFill="1" applyAlignment="1"/>
    <xf numFmtId="0" fontId="0" fillId="0" borderId="0" xfId="0" applyAlignment="1"/>
    <xf numFmtId="0" fontId="0" fillId="0" borderId="2" xfId="0" applyFill="1" applyBorder="1" applyAlignment="1">
      <alignment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40" xfId="0" applyFont="1" applyFill="1" applyBorder="1" applyAlignment="1">
      <alignment horizontal="center" vertical="center"/>
    </xf>
    <xf numFmtId="0" fontId="8" fillId="4" borderId="7" xfId="0" applyFont="1" applyFill="1" applyBorder="1" applyAlignment="1">
      <alignment horizontal="center"/>
    </xf>
    <xf numFmtId="0" fontId="8" fillId="4" borderId="40" xfId="0" applyFont="1" applyFill="1"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16" xfId="0" applyBorder="1" applyAlignment="1">
      <alignment horizontal="left" vertical="center"/>
    </xf>
    <xf numFmtId="0" fontId="0" fillId="0" borderId="5" xfId="0" applyBorder="1" applyAlignment="1">
      <alignment horizontal="left" vertical="center"/>
    </xf>
    <xf numFmtId="0" fontId="0" fillId="0" borderId="17"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9" xfId="0" applyBorder="1" applyAlignment="1">
      <alignment horizontal="left" vertical="center"/>
    </xf>
    <xf numFmtId="0" fontId="0" fillId="0" borderId="23" xfId="0" applyBorder="1" applyAlignment="1">
      <alignment horizontal="left" vertical="center"/>
    </xf>
    <xf numFmtId="0" fontId="0" fillId="0" borderId="4" xfId="0"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2" xfId="0" applyBorder="1" applyAlignment="1">
      <alignmen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34" xfId="0" applyBorder="1" applyAlignment="1">
      <alignment horizontal="left" vertical="center"/>
    </xf>
    <xf numFmtId="0" fontId="0" fillId="0" borderId="15"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9" xfId="0" applyBorder="1" applyAlignment="1">
      <alignment horizontal="left" vertical="center"/>
    </xf>
    <xf numFmtId="0" fontId="0" fillId="0" borderId="30"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34" xfId="0" applyFill="1" applyBorder="1" applyAlignment="1">
      <alignment horizontal="left" vertical="center"/>
    </xf>
    <xf numFmtId="0" fontId="0" fillId="0" borderId="15" xfId="0" applyFill="1"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6" borderId="9" xfId="0" applyFill="1" applyBorder="1"/>
    <xf numFmtId="0" fontId="16" fillId="15" borderId="27" xfId="0" applyFont="1" applyFill="1" applyBorder="1" applyAlignment="1">
      <alignment horizontal="left" vertical="center" wrapText="1"/>
    </xf>
    <xf numFmtId="0" fontId="16" fillId="15" borderId="27" xfId="0" applyFont="1" applyFill="1" applyBorder="1"/>
    <xf numFmtId="0" fontId="16" fillId="15" borderId="40" xfId="0" applyFont="1" applyFill="1" applyBorder="1"/>
    <xf numFmtId="0" fontId="16" fillId="15" borderId="2" xfId="0" applyFont="1" applyFill="1" applyBorder="1" applyAlignment="1">
      <alignment horizontal="center" vertical="center" wrapText="1"/>
    </xf>
    <xf numFmtId="0" fontId="16" fillId="15" borderId="2" xfId="0" applyFont="1" applyFill="1" applyBorder="1"/>
    <xf numFmtId="0" fontId="16" fillId="15" borderId="1" xfId="0" applyFont="1" applyFill="1" applyBorder="1"/>
    <xf numFmtId="0" fontId="16" fillId="15" borderId="0" xfId="0" applyFont="1" applyFill="1"/>
    <xf numFmtId="0" fontId="5" fillId="2" borderId="2" xfId="0" applyFont="1" applyFill="1" applyBorder="1"/>
    <xf numFmtId="0" fontId="16" fillId="10" borderId="1" xfId="0" applyFont="1" applyFill="1" applyBorder="1"/>
    <xf numFmtId="0" fontId="16" fillId="10" borderId="27" xfId="0" applyFont="1" applyFill="1" applyBorder="1" applyAlignment="1">
      <alignment horizontal="left" vertical="center" wrapText="1"/>
    </xf>
    <xf numFmtId="0" fontId="16" fillId="10" borderId="27" xfId="0" applyFont="1" applyFill="1" applyBorder="1"/>
    <xf numFmtId="0" fontId="16" fillId="10" borderId="40" xfId="0" applyFont="1" applyFill="1" applyBorder="1"/>
    <xf numFmtId="0" fontId="16" fillId="10" borderId="2" xfId="0" applyFont="1" applyFill="1" applyBorder="1" applyAlignment="1">
      <alignment horizontal="center" vertical="center" wrapText="1"/>
    </xf>
    <xf numFmtId="0" fontId="16" fillId="10" borderId="2" xfId="0" applyFont="1" applyFill="1" applyBorder="1"/>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cellXfs>
  <cellStyles count="1">
    <cellStyle name="Normal" xfId="0" builtinId="0"/>
  </cellStyles>
  <dxfs count="43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584200</xdr:colOff>
          <xdr:row>0</xdr:row>
          <xdr:rowOff>0</xdr:rowOff>
        </xdr:from>
        <xdr:to>
          <xdr:col>16</xdr:col>
          <xdr:colOff>603250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1"/>
  <sheetViews>
    <sheetView tabSelected="1" workbookViewId="0">
      <selection activeCell="H16" sqref="H16"/>
    </sheetView>
  </sheetViews>
  <sheetFormatPr defaultRowHeight="14.5" x14ac:dyDescent="0.35"/>
  <cols>
    <col min="1" max="1" width="10" bestFit="1" customWidth="1"/>
    <col min="2" max="2" width="9.6328125" bestFit="1" customWidth="1"/>
    <col min="3" max="3" width="20.6328125" customWidth="1"/>
    <col min="4" max="4" width="126.90625" customWidth="1"/>
  </cols>
  <sheetData>
    <row r="1" spans="1:4" x14ac:dyDescent="0.35">
      <c r="A1" s="67" t="s">
        <v>565</v>
      </c>
      <c r="B1" s="68" t="s">
        <v>566</v>
      </c>
      <c r="C1" s="69" t="s">
        <v>567</v>
      </c>
      <c r="D1" s="70" t="s">
        <v>436</v>
      </c>
    </row>
    <row r="2" spans="1:4" x14ac:dyDescent="0.35">
      <c r="A2" s="71">
        <v>1</v>
      </c>
      <c r="B2" s="72">
        <v>43878</v>
      </c>
      <c r="C2" s="73" t="s">
        <v>568</v>
      </c>
      <c r="D2" s="74" t="s">
        <v>569</v>
      </c>
    </row>
    <row r="3" spans="1:4" x14ac:dyDescent="0.35">
      <c r="A3" s="71">
        <v>2</v>
      </c>
      <c r="B3" s="72">
        <v>43880</v>
      </c>
      <c r="C3" s="73" t="s">
        <v>568</v>
      </c>
      <c r="D3" s="75" t="s">
        <v>570</v>
      </c>
    </row>
    <row r="4" spans="1:4" x14ac:dyDescent="0.35">
      <c r="A4" s="71">
        <v>3</v>
      </c>
      <c r="B4" s="72">
        <v>43880</v>
      </c>
      <c r="C4" s="73" t="s">
        <v>568</v>
      </c>
      <c r="D4" s="75" t="s">
        <v>571</v>
      </c>
    </row>
    <row r="5" spans="1:4" x14ac:dyDescent="0.35">
      <c r="A5" s="71">
        <v>4</v>
      </c>
      <c r="B5" s="72">
        <v>43883</v>
      </c>
      <c r="C5" s="17" t="s">
        <v>568</v>
      </c>
      <c r="D5" s="17" t="s">
        <v>613</v>
      </c>
    </row>
    <row r="6" spans="1:4" x14ac:dyDescent="0.35">
      <c r="A6" s="71">
        <v>5</v>
      </c>
      <c r="B6" s="72">
        <v>43887</v>
      </c>
      <c r="C6" s="17" t="s">
        <v>619</v>
      </c>
      <c r="D6" s="17" t="s">
        <v>620</v>
      </c>
    </row>
    <row r="7" spans="1:4" x14ac:dyDescent="0.35">
      <c r="A7" s="71">
        <v>6</v>
      </c>
      <c r="B7" s="72">
        <v>43888</v>
      </c>
      <c r="C7" s="17" t="s">
        <v>568</v>
      </c>
      <c r="D7" s="17" t="s">
        <v>621</v>
      </c>
    </row>
    <row r="8" spans="1:4" x14ac:dyDescent="0.35">
      <c r="A8" s="71">
        <v>7</v>
      </c>
      <c r="B8" s="72">
        <v>43889</v>
      </c>
      <c r="C8" s="17" t="s">
        <v>568</v>
      </c>
      <c r="D8" s="17" t="s">
        <v>665</v>
      </c>
    </row>
    <row r="9" spans="1:4" x14ac:dyDescent="0.35">
      <c r="A9" s="71">
        <v>8</v>
      </c>
      <c r="B9" s="72">
        <v>43893</v>
      </c>
      <c r="C9" s="17" t="s">
        <v>568</v>
      </c>
      <c r="D9" s="17" t="s">
        <v>666</v>
      </c>
    </row>
    <row r="10" spans="1:4" s="16" customFormat="1" x14ac:dyDescent="0.35">
      <c r="A10" s="71">
        <v>9</v>
      </c>
      <c r="B10" s="72">
        <v>43899</v>
      </c>
      <c r="C10" s="17" t="s">
        <v>568</v>
      </c>
      <c r="D10" s="17" t="s">
        <v>682</v>
      </c>
    </row>
    <row r="11" spans="1:4" x14ac:dyDescent="0.35">
      <c r="A11" s="71">
        <v>10</v>
      </c>
      <c r="B11" s="72">
        <v>43899</v>
      </c>
      <c r="C11" s="17" t="s">
        <v>568</v>
      </c>
      <c r="D11" s="17" t="s">
        <v>683</v>
      </c>
    </row>
    <row r="12" spans="1:4" x14ac:dyDescent="0.35">
      <c r="A12" s="71">
        <v>11</v>
      </c>
      <c r="B12" s="72">
        <v>43903</v>
      </c>
      <c r="C12" s="17" t="s">
        <v>568</v>
      </c>
      <c r="D12" s="17" t="s">
        <v>689</v>
      </c>
    </row>
    <row r="13" spans="1:4" x14ac:dyDescent="0.35">
      <c r="A13" s="71">
        <v>12</v>
      </c>
      <c r="B13" s="72">
        <v>43904</v>
      </c>
      <c r="C13" s="17" t="s">
        <v>568</v>
      </c>
      <c r="D13" s="17" t="s">
        <v>690</v>
      </c>
    </row>
    <row r="14" spans="1:4" x14ac:dyDescent="0.35">
      <c r="A14" s="71">
        <v>13</v>
      </c>
      <c r="B14" s="72">
        <v>43916</v>
      </c>
      <c r="C14" s="17" t="s">
        <v>568</v>
      </c>
      <c r="D14" s="17" t="s">
        <v>851</v>
      </c>
    </row>
    <row r="15" spans="1:4" ht="29" x14ac:dyDescent="0.35">
      <c r="A15" s="222">
        <v>14</v>
      </c>
      <c r="B15" s="223">
        <v>43920</v>
      </c>
      <c r="C15" s="154" t="s">
        <v>568</v>
      </c>
      <c r="D15" s="224" t="s">
        <v>852</v>
      </c>
    </row>
    <row r="16" spans="1:4" x14ac:dyDescent="0.35">
      <c r="A16" s="17"/>
      <c r="B16" s="17"/>
      <c r="C16" s="17"/>
      <c r="D16" s="17"/>
    </row>
    <row r="17" spans="1:4" x14ac:dyDescent="0.35">
      <c r="A17" s="17"/>
      <c r="B17" s="17"/>
      <c r="C17" s="17"/>
      <c r="D17" s="17"/>
    </row>
    <row r="18" spans="1:4" x14ac:dyDescent="0.35">
      <c r="A18" s="17"/>
      <c r="B18" s="17"/>
      <c r="C18" s="17"/>
      <c r="D18" s="17"/>
    </row>
    <row r="19" spans="1:4" x14ac:dyDescent="0.35">
      <c r="A19" s="17"/>
      <c r="B19" s="17"/>
      <c r="C19" s="17"/>
      <c r="D19" s="17"/>
    </row>
    <row r="20" spans="1:4" x14ac:dyDescent="0.35">
      <c r="A20" s="17"/>
      <c r="B20" s="17"/>
      <c r="C20" s="17"/>
      <c r="D20" s="17"/>
    </row>
    <row r="21" spans="1:4" x14ac:dyDescent="0.35">
      <c r="A21" s="17"/>
      <c r="B21" s="17"/>
      <c r="C21" s="17"/>
      <c r="D21"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C69"/>
  <sheetViews>
    <sheetView topLeftCell="A46" workbookViewId="0">
      <selection activeCell="G60" sqref="G60"/>
    </sheetView>
  </sheetViews>
  <sheetFormatPr defaultRowHeight="14.5" x14ac:dyDescent="0.35"/>
  <cols>
    <col min="1" max="1" width="32.6328125" bestFit="1" customWidth="1"/>
    <col min="2" max="2" width="7.6328125" style="16" customWidth="1"/>
    <col min="3" max="4" width="6.36328125" style="16" customWidth="1"/>
    <col min="5" max="5" width="6.08984375" customWidth="1"/>
    <col min="6" max="6" width="5.08984375" customWidth="1"/>
    <col min="7" max="7" width="6.08984375" customWidth="1"/>
    <col min="8" max="15" width="7.453125" customWidth="1"/>
  </cols>
  <sheetData>
    <row r="1" spans="1:29" s="16" customFormat="1" ht="20.399999999999999" customHeight="1" x14ac:dyDescent="0.35">
      <c r="A1" s="16" t="s">
        <v>625</v>
      </c>
      <c r="B1" s="16" t="str">
        <f>CONCATENATE(A1,"!A2:AA100")</f>
        <v>Config!A2:AA100</v>
      </c>
      <c r="E1" s="16" t="str">
        <f>CONCATENATE(A1,"!B3:AA4")</f>
        <v>Config!B3:AA4</v>
      </c>
    </row>
    <row r="2" spans="1:29" s="16" customFormat="1" x14ac:dyDescent="0.35">
      <c r="A2" s="25"/>
      <c r="B2" s="25" t="s">
        <v>431</v>
      </c>
      <c r="C2" s="162" t="s">
        <v>647</v>
      </c>
      <c r="D2" s="163"/>
      <c r="E2" s="159" t="s">
        <v>404</v>
      </c>
      <c r="F2" s="160"/>
      <c r="G2" s="161"/>
      <c r="H2" s="25"/>
      <c r="I2" s="25"/>
      <c r="J2" s="25"/>
      <c r="K2" s="25"/>
      <c r="L2" s="25"/>
      <c r="M2" s="25"/>
      <c r="N2" s="25"/>
      <c r="O2" s="25"/>
      <c r="P2" s="25"/>
      <c r="Q2" s="25"/>
      <c r="R2" s="25"/>
      <c r="S2" s="25"/>
      <c r="T2" s="25"/>
      <c r="U2" s="25"/>
      <c r="V2" s="25"/>
      <c r="W2" s="25"/>
      <c r="X2" s="25"/>
      <c r="Y2" s="25"/>
      <c r="Z2" s="25"/>
      <c r="AA2" s="25"/>
      <c r="AB2" s="25"/>
      <c r="AC2" s="25"/>
    </row>
    <row r="3" spans="1:29" s="16" customFormat="1" ht="58" x14ac:dyDescent="0.35">
      <c r="A3" s="26" t="s">
        <v>403</v>
      </c>
      <c r="B3" s="26" t="s">
        <v>398</v>
      </c>
      <c r="C3" s="132" t="s">
        <v>645</v>
      </c>
      <c r="D3" s="132" t="s">
        <v>646</v>
      </c>
      <c r="E3" s="81" t="s">
        <v>622</v>
      </c>
      <c r="F3" s="81" t="s">
        <v>623</v>
      </c>
      <c r="G3" s="81" t="s">
        <v>624</v>
      </c>
      <c r="H3" s="82"/>
      <c r="I3" s="82"/>
      <c r="J3" s="82"/>
      <c r="K3" s="82"/>
      <c r="L3" s="82"/>
      <c r="M3" s="82"/>
      <c r="N3" s="82"/>
      <c r="O3" s="82"/>
      <c r="P3" s="82"/>
      <c r="Q3" s="82"/>
      <c r="R3" s="82"/>
      <c r="S3" s="82"/>
      <c r="T3" s="82"/>
      <c r="U3" s="82"/>
      <c r="V3" s="82"/>
      <c r="W3" s="82"/>
      <c r="X3" s="82"/>
      <c r="Y3" s="82"/>
      <c r="Z3" s="82"/>
      <c r="AA3" s="82"/>
      <c r="AB3" s="82"/>
      <c r="AC3" s="82"/>
    </row>
    <row r="4" spans="1:29" s="16" customFormat="1" x14ac:dyDescent="0.35">
      <c r="A4" s="28" t="s">
        <v>405</v>
      </c>
      <c r="B4" s="27">
        <v>2</v>
      </c>
      <c r="C4" s="79">
        <v>3</v>
      </c>
      <c r="D4" s="79">
        <v>4</v>
      </c>
      <c r="E4" s="79">
        <v>5</v>
      </c>
      <c r="F4" s="79">
        <v>6</v>
      </c>
      <c r="G4" s="79">
        <v>7</v>
      </c>
      <c r="H4" s="79">
        <v>8</v>
      </c>
      <c r="I4" s="79">
        <v>9</v>
      </c>
      <c r="J4" s="79">
        <v>10</v>
      </c>
      <c r="K4" s="79">
        <v>11</v>
      </c>
      <c r="L4" s="79">
        <v>12</v>
      </c>
      <c r="M4" s="79">
        <v>13</v>
      </c>
      <c r="N4" s="79">
        <v>14</v>
      </c>
      <c r="O4" s="79">
        <v>15</v>
      </c>
      <c r="P4" s="79">
        <v>16</v>
      </c>
      <c r="Q4" s="79">
        <v>17</v>
      </c>
      <c r="R4" s="79">
        <v>18</v>
      </c>
      <c r="S4" s="79">
        <v>19</v>
      </c>
      <c r="T4" s="79">
        <v>20</v>
      </c>
      <c r="U4" s="79">
        <v>21</v>
      </c>
      <c r="V4" s="79">
        <v>22</v>
      </c>
      <c r="W4" s="79">
        <v>23</v>
      </c>
      <c r="X4" s="79">
        <v>24</v>
      </c>
      <c r="Y4" s="79">
        <v>25</v>
      </c>
      <c r="Z4" s="79">
        <v>26</v>
      </c>
      <c r="AA4" s="79">
        <v>27</v>
      </c>
      <c r="AB4" s="79">
        <v>28</v>
      </c>
      <c r="AC4" s="79">
        <v>29</v>
      </c>
    </row>
    <row r="5" spans="1:29" x14ac:dyDescent="0.35">
      <c r="A5" s="52" t="s">
        <v>128</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row>
    <row r="6" spans="1:29" x14ac:dyDescent="0.35">
      <c r="A6" s="52" t="s">
        <v>175</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row>
    <row r="7" spans="1:29" x14ac:dyDescent="0.35">
      <c r="A7" s="52" t="s">
        <v>648</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row>
    <row r="8" spans="1:29" x14ac:dyDescent="0.35">
      <c r="A8" s="52" t="s">
        <v>241</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row>
    <row r="9" spans="1:29" x14ac:dyDescent="0.35">
      <c r="A9" s="152" t="s">
        <v>72</v>
      </c>
      <c r="B9" s="17">
        <v>1</v>
      </c>
      <c r="C9" s="17">
        <v>1</v>
      </c>
      <c r="D9" s="17">
        <v>1</v>
      </c>
      <c r="E9" s="17">
        <v>0</v>
      </c>
      <c r="F9" s="17">
        <v>1</v>
      </c>
      <c r="G9" s="17">
        <v>0</v>
      </c>
      <c r="H9" s="17"/>
      <c r="I9" s="17"/>
      <c r="J9" s="17"/>
      <c r="K9" s="17"/>
      <c r="L9" s="17"/>
      <c r="M9" s="17"/>
      <c r="N9" s="17"/>
      <c r="O9" s="17"/>
      <c r="P9" s="17"/>
      <c r="Q9" s="17"/>
      <c r="R9" s="17"/>
      <c r="S9" s="17"/>
      <c r="T9" s="17"/>
      <c r="U9" s="17"/>
      <c r="V9" s="17"/>
      <c r="W9" s="17"/>
      <c r="X9" s="17"/>
      <c r="Y9" s="17"/>
      <c r="Z9" s="17"/>
      <c r="AA9" s="17"/>
      <c r="AB9" s="17"/>
      <c r="AC9" s="17"/>
    </row>
    <row r="10" spans="1:29" x14ac:dyDescent="0.35">
      <c r="A10" s="152" t="s">
        <v>231</v>
      </c>
      <c r="B10" s="17">
        <v>1</v>
      </c>
      <c r="C10" s="17">
        <v>1</v>
      </c>
      <c r="D10" s="17">
        <v>1</v>
      </c>
      <c r="E10" s="17">
        <v>1</v>
      </c>
      <c r="F10" s="17">
        <v>0</v>
      </c>
      <c r="G10" s="17">
        <v>0</v>
      </c>
      <c r="H10" s="17"/>
      <c r="I10" s="17"/>
      <c r="J10" s="17"/>
      <c r="K10" s="17"/>
      <c r="L10" s="17"/>
      <c r="M10" s="17"/>
      <c r="N10" s="17"/>
      <c r="O10" s="17"/>
      <c r="P10" s="17"/>
      <c r="Q10" s="17"/>
      <c r="R10" s="17"/>
      <c r="S10" s="17"/>
      <c r="T10" s="17"/>
      <c r="U10" s="17"/>
      <c r="V10" s="17"/>
      <c r="W10" s="17"/>
      <c r="X10" s="17"/>
      <c r="Y10" s="17"/>
      <c r="Z10" s="17"/>
      <c r="AA10" s="17"/>
      <c r="AB10" s="17"/>
      <c r="AC10" s="17"/>
    </row>
    <row r="11" spans="1:29" x14ac:dyDescent="0.35">
      <c r="A11" s="152" t="s">
        <v>406</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row>
    <row r="12" spans="1:29" x14ac:dyDescent="0.35">
      <c r="A12" s="52" t="s">
        <v>649</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row>
    <row r="13" spans="1:29" x14ac:dyDescent="0.35">
      <c r="A13" s="54" t="s">
        <v>249</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row>
    <row r="14" spans="1:29" x14ac:dyDescent="0.35">
      <c r="A14" s="152" t="s">
        <v>549</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row>
    <row r="15" spans="1:29" x14ac:dyDescent="0.35">
      <c r="A15" s="52" t="s">
        <v>150</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row>
    <row r="16" spans="1:29" x14ac:dyDescent="0.35">
      <c r="A16" s="52" t="s">
        <v>389</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row>
    <row r="17" spans="1:29" x14ac:dyDescent="0.35">
      <c r="A17" s="54" t="s">
        <v>228</v>
      </c>
      <c r="B17" s="17">
        <v>0</v>
      </c>
      <c r="C17" s="17">
        <v>1</v>
      </c>
      <c r="D17" s="17">
        <v>1</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row>
    <row r="18" spans="1:29" x14ac:dyDescent="0.35">
      <c r="A18" s="54" t="s">
        <v>189</v>
      </c>
      <c r="B18" s="17">
        <v>1</v>
      </c>
      <c r="C18" s="17">
        <v>1</v>
      </c>
      <c r="D18" s="17">
        <v>1</v>
      </c>
      <c r="E18" s="17">
        <v>1</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row>
    <row r="19" spans="1:29" x14ac:dyDescent="0.35">
      <c r="A19" s="52" t="s">
        <v>650</v>
      </c>
      <c r="B19" s="17">
        <v>1</v>
      </c>
      <c r="C19" s="17">
        <v>1</v>
      </c>
      <c r="D19" s="17">
        <v>1</v>
      </c>
      <c r="E19" s="17">
        <v>1</v>
      </c>
      <c r="F19" s="17">
        <v>0</v>
      </c>
      <c r="G19" s="17">
        <v>1</v>
      </c>
      <c r="H19" s="17"/>
      <c r="I19" s="17"/>
      <c r="J19" s="17"/>
      <c r="K19" s="17"/>
      <c r="L19" s="17"/>
      <c r="M19" s="17"/>
      <c r="N19" s="17"/>
      <c r="O19" s="17"/>
      <c r="P19" s="17"/>
      <c r="Q19" s="17"/>
      <c r="R19" s="17"/>
      <c r="S19" s="17"/>
      <c r="T19" s="17"/>
      <c r="U19" s="17"/>
      <c r="V19" s="17"/>
      <c r="W19" s="17"/>
      <c r="X19" s="17"/>
      <c r="Y19" s="17"/>
      <c r="Z19" s="17"/>
      <c r="AA19" s="17"/>
      <c r="AB19" s="17"/>
      <c r="AC19" s="17"/>
    </row>
    <row r="20" spans="1:29" x14ac:dyDescent="0.35">
      <c r="A20" s="52" t="s">
        <v>651</v>
      </c>
      <c r="B20" s="17">
        <v>1</v>
      </c>
      <c r="C20" s="17">
        <v>1</v>
      </c>
      <c r="D20" s="17">
        <v>1</v>
      </c>
      <c r="E20" s="17">
        <v>1</v>
      </c>
      <c r="F20" s="17">
        <v>0</v>
      </c>
      <c r="G20" s="17">
        <v>0</v>
      </c>
      <c r="H20" s="17"/>
      <c r="I20" s="17"/>
      <c r="J20" s="17"/>
      <c r="K20" s="17"/>
      <c r="L20" s="17"/>
      <c r="M20" s="17"/>
      <c r="N20" s="17"/>
      <c r="O20" s="17"/>
      <c r="P20" s="17"/>
      <c r="Q20" s="17"/>
      <c r="R20" s="17"/>
      <c r="S20" s="17"/>
      <c r="T20" s="17"/>
      <c r="U20" s="17"/>
      <c r="V20" s="17"/>
      <c r="W20" s="17"/>
      <c r="X20" s="17"/>
      <c r="Y20" s="17"/>
      <c r="Z20" s="17"/>
      <c r="AA20" s="17"/>
      <c r="AB20" s="17"/>
      <c r="AC20" s="17"/>
    </row>
    <row r="21" spans="1:29" x14ac:dyDescent="0.35">
      <c r="A21" s="52" t="s">
        <v>400</v>
      </c>
      <c r="B21" s="17">
        <v>0</v>
      </c>
      <c r="C21" s="17">
        <v>0</v>
      </c>
      <c r="D21" s="17">
        <v>0</v>
      </c>
      <c r="E21" s="17">
        <v>0</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row>
    <row r="22" spans="1:29" x14ac:dyDescent="0.35">
      <c r="A22" s="152" t="s">
        <v>221</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row>
    <row r="23" spans="1:29" s="16" customFormat="1" x14ac:dyDescent="0.35">
      <c r="A23" s="52" t="s">
        <v>428</v>
      </c>
      <c r="B23" s="17">
        <v>1</v>
      </c>
      <c r="C23" s="17">
        <v>1</v>
      </c>
      <c r="D23" s="17">
        <v>1</v>
      </c>
      <c r="E23" s="17">
        <v>1</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row>
    <row r="24" spans="1:29" x14ac:dyDescent="0.35">
      <c r="A24" s="52" t="s">
        <v>653</v>
      </c>
      <c r="B24" s="17">
        <v>0</v>
      </c>
      <c r="C24" s="17">
        <v>1</v>
      </c>
      <c r="D24" s="17">
        <v>1</v>
      </c>
      <c r="E24" s="17">
        <v>0</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row>
    <row r="25" spans="1:29" x14ac:dyDescent="0.35">
      <c r="A25" s="52" t="s">
        <v>654</v>
      </c>
      <c r="B25" s="17">
        <v>1</v>
      </c>
      <c r="C25" s="17">
        <v>1</v>
      </c>
      <c r="D25" s="17">
        <v>1</v>
      </c>
      <c r="E25" s="17">
        <v>1</v>
      </c>
      <c r="F25" s="17">
        <v>0</v>
      </c>
      <c r="G25" s="17">
        <v>0</v>
      </c>
      <c r="H25" s="17"/>
      <c r="I25" s="17"/>
      <c r="J25" s="17"/>
      <c r="K25" s="17"/>
      <c r="L25" s="17"/>
      <c r="M25" s="17"/>
      <c r="N25" s="17"/>
      <c r="O25" s="17"/>
      <c r="P25" s="17"/>
      <c r="Q25" s="17"/>
      <c r="R25" s="17"/>
      <c r="S25" s="17"/>
      <c r="T25" s="17"/>
      <c r="U25" s="17"/>
      <c r="V25" s="17"/>
      <c r="W25" s="17"/>
      <c r="X25" s="17"/>
      <c r="Y25" s="17"/>
      <c r="Z25" s="17"/>
      <c r="AA25" s="17"/>
      <c r="AB25" s="17"/>
      <c r="AC25" s="17"/>
    </row>
    <row r="26" spans="1:29" x14ac:dyDescent="0.35">
      <c r="A26" s="52" t="s">
        <v>655</v>
      </c>
      <c r="B26" s="17">
        <v>0</v>
      </c>
      <c r="C26" s="17">
        <v>1</v>
      </c>
      <c r="D26" s="17">
        <v>1</v>
      </c>
      <c r="E26" s="17">
        <v>0</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row>
    <row r="27" spans="1:29" x14ac:dyDescent="0.35">
      <c r="A27" s="52" t="s">
        <v>656</v>
      </c>
      <c r="B27" s="17">
        <v>1</v>
      </c>
      <c r="C27" s="17">
        <v>1</v>
      </c>
      <c r="D27" s="17">
        <v>1</v>
      </c>
      <c r="E27" s="17">
        <v>1</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row>
    <row r="28" spans="1:29" x14ac:dyDescent="0.35">
      <c r="A28" s="52" t="s">
        <v>652</v>
      </c>
      <c r="B28" s="17">
        <v>0</v>
      </c>
      <c r="C28" s="17">
        <v>1</v>
      </c>
      <c r="D28" s="17">
        <v>1</v>
      </c>
      <c r="E28" s="17">
        <v>0</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row>
    <row r="29" spans="1:29" x14ac:dyDescent="0.35">
      <c r="A29" s="152" t="s">
        <v>372</v>
      </c>
      <c r="B29" s="17">
        <v>0</v>
      </c>
      <c r="C29" s="17">
        <v>0</v>
      </c>
      <c r="D29" s="17">
        <v>0</v>
      </c>
      <c r="E29" s="17">
        <v>0</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row>
    <row r="30" spans="1:29" x14ac:dyDescent="0.35">
      <c r="A30" s="83" t="s">
        <v>401</v>
      </c>
      <c r="B30" s="17">
        <v>1</v>
      </c>
      <c r="C30" s="17">
        <v>0</v>
      </c>
      <c r="D30" s="17">
        <v>0</v>
      </c>
      <c r="E30" s="17">
        <v>1</v>
      </c>
      <c r="F30" s="17">
        <v>1</v>
      </c>
      <c r="G30" s="17">
        <v>1</v>
      </c>
      <c r="H30" s="17"/>
      <c r="I30" s="17"/>
      <c r="J30" s="17"/>
      <c r="K30" s="17"/>
      <c r="L30" s="17"/>
      <c r="M30" s="17"/>
      <c r="N30" s="17"/>
      <c r="O30" s="17"/>
      <c r="P30" s="17"/>
      <c r="Q30" s="17"/>
      <c r="R30" s="17"/>
      <c r="S30" s="17"/>
      <c r="T30" s="17"/>
      <c r="U30" s="17"/>
      <c r="V30" s="17"/>
      <c r="W30" s="17"/>
      <c r="X30" s="17"/>
      <c r="Y30" s="17"/>
      <c r="Z30" s="17"/>
      <c r="AA30" s="17"/>
      <c r="AB30" s="17"/>
      <c r="AC30" s="17"/>
    </row>
    <row r="31" spans="1:29" s="16" customFormat="1" x14ac:dyDescent="0.35">
      <c r="A31" s="83" t="s">
        <v>686</v>
      </c>
      <c r="B31" s="17">
        <v>0</v>
      </c>
      <c r="C31" s="17">
        <v>0</v>
      </c>
      <c r="D31" s="17">
        <v>0</v>
      </c>
      <c r="E31" s="17">
        <v>0</v>
      </c>
      <c r="F31" s="17">
        <v>0</v>
      </c>
      <c r="G31" s="83">
        <v>0</v>
      </c>
      <c r="H31" s="17"/>
      <c r="I31" s="17"/>
      <c r="J31" s="17"/>
      <c r="K31" s="17"/>
      <c r="L31" s="17"/>
      <c r="M31" s="17"/>
      <c r="N31" s="17"/>
      <c r="O31" s="17"/>
      <c r="P31" s="17"/>
      <c r="Q31" s="17"/>
      <c r="R31" s="17"/>
      <c r="S31" s="17"/>
      <c r="T31" s="17"/>
      <c r="U31" s="17"/>
      <c r="V31" s="17"/>
      <c r="W31" s="17"/>
      <c r="X31" s="17"/>
      <c r="Y31" s="17"/>
      <c r="Z31" s="17"/>
      <c r="AA31" s="17"/>
      <c r="AB31" s="17"/>
      <c r="AC31" s="17"/>
    </row>
    <row r="32" spans="1:29" x14ac:dyDescent="0.35">
      <c r="A32" s="52" t="s">
        <v>77</v>
      </c>
      <c r="B32" s="17">
        <v>1</v>
      </c>
      <c r="C32" s="17">
        <v>1</v>
      </c>
      <c r="D32" s="17">
        <v>1</v>
      </c>
      <c r="E32" s="17">
        <v>1</v>
      </c>
      <c r="F32" s="17">
        <v>0</v>
      </c>
      <c r="G32" s="17">
        <v>0</v>
      </c>
      <c r="H32" s="17"/>
      <c r="I32" s="17"/>
      <c r="J32" s="17"/>
      <c r="K32" s="17"/>
      <c r="L32" s="17"/>
      <c r="M32" s="17"/>
      <c r="N32" s="17"/>
      <c r="O32" s="17"/>
      <c r="P32" s="17"/>
      <c r="Q32" s="17"/>
      <c r="R32" s="17"/>
      <c r="S32" s="17"/>
      <c r="T32" s="17"/>
      <c r="U32" s="17"/>
      <c r="V32" s="17"/>
      <c r="W32" s="17"/>
      <c r="X32" s="17"/>
      <c r="Y32" s="17"/>
      <c r="Z32" s="17"/>
      <c r="AA32" s="17"/>
      <c r="AB32" s="17"/>
      <c r="AC32" s="17"/>
    </row>
    <row r="33" spans="1:29" x14ac:dyDescent="0.35">
      <c r="A33" s="52" t="s">
        <v>136</v>
      </c>
      <c r="B33" s="17">
        <v>0</v>
      </c>
      <c r="C33" s="17">
        <v>0</v>
      </c>
      <c r="D33" s="17">
        <v>0</v>
      </c>
      <c r="E33" s="17">
        <v>0</v>
      </c>
      <c r="F33" s="17">
        <v>0</v>
      </c>
      <c r="G33" s="17">
        <v>0</v>
      </c>
      <c r="H33" s="17"/>
      <c r="I33" s="17"/>
      <c r="J33" s="17"/>
      <c r="K33" s="17"/>
      <c r="L33" s="17"/>
      <c r="M33" s="17"/>
      <c r="N33" s="17"/>
      <c r="O33" s="17"/>
      <c r="P33" s="17"/>
      <c r="Q33" s="17"/>
      <c r="R33" s="17"/>
      <c r="S33" s="17"/>
      <c r="T33" s="17"/>
      <c r="U33" s="17"/>
      <c r="V33" s="17"/>
      <c r="W33" s="17"/>
      <c r="X33" s="17"/>
      <c r="Y33" s="17"/>
      <c r="Z33" s="17"/>
      <c r="AA33" s="17"/>
      <c r="AB33" s="17"/>
      <c r="AC33" s="17"/>
    </row>
    <row r="34" spans="1:29" x14ac:dyDescent="0.35">
      <c r="A34" s="52" t="s">
        <v>657</v>
      </c>
      <c r="B34" s="17">
        <v>1</v>
      </c>
      <c r="C34" s="17">
        <v>1</v>
      </c>
      <c r="D34" s="17">
        <v>1</v>
      </c>
      <c r="E34" s="17">
        <v>1</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row>
    <row r="35" spans="1:29" x14ac:dyDescent="0.35">
      <c r="A35" s="52" t="s">
        <v>658</v>
      </c>
      <c r="B35" s="17">
        <v>1</v>
      </c>
      <c r="C35" s="17">
        <v>1</v>
      </c>
      <c r="D35" s="17">
        <v>1</v>
      </c>
      <c r="E35" s="17">
        <v>1</v>
      </c>
      <c r="F35" s="17">
        <v>0</v>
      </c>
      <c r="G35" s="17">
        <v>1</v>
      </c>
      <c r="H35" s="17"/>
      <c r="I35" s="17"/>
      <c r="J35" s="17"/>
      <c r="K35" s="17"/>
      <c r="L35" s="17"/>
      <c r="M35" s="17"/>
      <c r="N35" s="17"/>
      <c r="O35" s="17"/>
      <c r="P35" s="17"/>
      <c r="Q35" s="17"/>
      <c r="R35" s="17"/>
      <c r="S35" s="17"/>
      <c r="T35" s="17"/>
      <c r="U35" s="17"/>
      <c r="V35" s="17"/>
      <c r="W35" s="17"/>
      <c r="X35" s="17"/>
      <c r="Y35" s="17"/>
      <c r="Z35" s="17"/>
      <c r="AA35" s="17"/>
      <c r="AB35" s="17"/>
      <c r="AC35" s="17"/>
    </row>
    <row r="36" spans="1:29" x14ac:dyDescent="0.35">
      <c r="A36" s="152" t="s">
        <v>402</v>
      </c>
      <c r="B36" s="17">
        <v>0</v>
      </c>
      <c r="C36" s="17">
        <v>0</v>
      </c>
      <c r="D36" s="17">
        <v>0</v>
      </c>
      <c r="E36" s="17">
        <v>0</v>
      </c>
      <c r="F36" s="17">
        <v>0</v>
      </c>
      <c r="G36" s="83">
        <v>0</v>
      </c>
      <c r="H36" s="17"/>
      <c r="I36" s="17"/>
      <c r="J36" s="17"/>
      <c r="K36" s="17"/>
      <c r="L36" s="17"/>
      <c r="M36" s="17"/>
      <c r="N36" s="17"/>
      <c r="O36" s="17"/>
      <c r="P36" s="17"/>
      <c r="Q36" s="17"/>
      <c r="R36" s="17"/>
      <c r="S36" s="17"/>
      <c r="T36" s="17"/>
      <c r="U36" s="17"/>
      <c r="V36" s="17"/>
      <c r="W36" s="17"/>
      <c r="X36" s="17"/>
      <c r="Y36" s="17"/>
      <c r="Z36" s="17"/>
      <c r="AA36" s="17"/>
      <c r="AB36" s="17"/>
      <c r="AC36" s="17"/>
    </row>
    <row r="37" spans="1:29" x14ac:dyDescent="0.35">
      <c r="A37" s="52" t="s">
        <v>659</v>
      </c>
      <c r="B37" s="17">
        <v>1</v>
      </c>
      <c r="C37" s="17">
        <v>1</v>
      </c>
      <c r="D37" s="17">
        <v>1</v>
      </c>
      <c r="E37" s="17">
        <v>1</v>
      </c>
      <c r="F37" s="17">
        <v>0</v>
      </c>
      <c r="G37" s="17">
        <v>0</v>
      </c>
      <c r="H37" s="17"/>
      <c r="I37" s="17"/>
      <c r="J37" s="17"/>
      <c r="K37" s="17"/>
      <c r="L37" s="17"/>
      <c r="M37" s="17"/>
      <c r="N37" s="17"/>
      <c r="O37" s="17"/>
      <c r="P37" s="17"/>
      <c r="Q37" s="17"/>
      <c r="R37" s="17"/>
      <c r="S37" s="17"/>
      <c r="T37" s="17"/>
      <c r="U37" s="17"/>
      <c r="V37" s="17"/>
      <c r="W37" s="17"/>
      <c r="X37" s="17"/>
      <c r="Y37" s="17"/>
      <c r="Z37" s="17"/>
      <c r="AA37" s="17"/>
      <c r="AB37" s="17"/>
      <c r="AC37" s="17"/>
    </row>
    <row r="38" spans="1:29" x14ac:dyDescent="0.35">
      <c r="A38" s="52" t="s">
        <v>660</v>
      </c>
      <c r="B38" s="17">
        <v>1</v>
      </c>
      <c r="C38" s="17">
        <v>1</v>
      </c>
      <c r="D38" s="17">
        <v>1</v>
      </c>
      <c r="E38" s="17">
        <v>1</v>
      </c>
      <c r="F38" s="17">
        <v>0</v>
      </c>
      <c r="G38" s="17">
        <v>0</v>
      </c>
      <c r="H38" s="17"/>
      <c r="I38" s="17"/>
      <c r="J38" s="17"/>
      <c r="K38" s="17"/>
      <c r="L38" s="17"/>
      <c r="M38" s="17"/>
      <c r="N38" s="17"/>
      <c r="O38" s="17"/>
      <c r="P38" s="17"/>
      <c r="Q38" s="17"/>
      <c r="R38" s="17"/>
      <c r="S38" s="17"/>
      <c r="T38" s="17"/>
      <c r="U38" s="17"/>
      <c r="V38" s="17"/>
      <c r="W38" s="17"/>
      <c r="X38" s="17"/>
      <c r="Y38" s="17"/>
      <c r="Z38" s="17"/>
      <c r="AA38" s="17"/>
      <c r="AB38" s="17"/>
      <c r="AC38" s="17"/>
    </row>
    <row r="39" spans="1:29" x14ac:dyDescent="0.35">
      <c r="A39" s="152" t="s">
        <v>209</v>
      </c>
      <c r="B39" s="17">
        <v>0</v>
      </c>
      <c r="C39" s="17">
        <v>0</v>
      </c>
      <c r="D39" s="17">
        <v>0</v>
      </c>
      <c r="E39" s="17">
        <v>0</v>
      </c>
      <c r="F39" s="17">
        <v>0</v>
      </c>
      <c r="G39" s="83">
        <v>0</v>
      </c>
      <c r="H39" s="17"/>
      <c r="I39" s="17"/>
      <c r="J39" s="17"/>
      <c r="K39" s="17"/>
      <c r="L39" s="17"/>
      <c r="M39" s="17"/>
      <c r="N39" s="17"/>
      <c r="O39" s="17"/>
      <c r="P39" s="17"/>
      <c r="Q39" s="17"/>
      <c r="R39" s="17"/>
      <c r="S39" s="17"/>
      <c r="T39" s="17"/>
      <c r="U39" s="17"/>
      <c r="V39" s="17"/>
      <c r="W39" s="17"/>
      <c r="X39" s="17"/>
      <c r="Y39" s="17"/>
      <c r="Z39" s="17"/>
      <c r="AA39" s="17"/>
      <c r="AB39" s="17"/>
      <c r="AC39" s="17"/>
    </row>
    <row r="40" spans="1:29" x14ac:dyDescent="0.35">
      <c r="A40" s="52" t="s">
        <v>93</v>
      </c>
      <c r="B40" s="17">
        <v>0</v>
      </c>
      <c r="C40" s="17">
        <v>1</v>
      </c>
      <c r="D40" s="17">
        <v>1</v>
      </c>
      <c r="E40" s="17">
        <v>0</v>
      </c>
      <c r="F40" s="17">
        <v>0</v>
      </c>
      <c r="G40" s="17">
        <v>0</v>
      </c>
      <c r="H40" s="17"/>
      <c r="I40" s="17"/>
      <c r="J40" s="17"/>
      <c r="K40" s="17"/>
      <c r="L40" s="17"/>
      <c r="M40" s="17"/>
      <c r="N40" s="17"/>
      <c r="O40" s="17"/>
      <c r="P40" s="17"/>
      <c r="Q40" s="17"/>
      <c r="R40" s="17"/>
      <c r="S40" s="17"/>
      <c r="T40" s="17"/>
      <c r="U40" s="17"/>
      <c r="V40" s="17"/>
      <c r="W40" s="17"/>
      <c r="X40" s="17"/>
      <c r="Y40" s="17"/>
      <c r="Z40" s="17"/>
      <c r="AA40" s="17"/>
      <c r="AB40" s="17"/>
      <c r="AC40" s="17"/>
    </row>
    <row r="41" spans="1:29" x14ac:dyDescent="0.35">
      <c r="A41" s="52" t="s">
        <v>662</v>
      </c>
      <c r="B41" s="17">
        <v>1</v>
      </c>
      <c r="C41" s="17">
        <v>1</v>
      </c>
      <c r="D41" s="17">
        <v>1</v>
      </c>
      <c r="E41" s="17">
        <v>1</v>
      </c>
      <c r="F41" s="17">
        <v>0</v>
      </c>
      <c r="G41" s="17">
        <v>0</v>
      </c>
      <c r="H41" s="17"/>
      <c r="I41" s="17"/>
      <c r="J41" s="17"/>
      <c r="K41" s="17"/>
      <c r="L41" s="17"/>
      <c r="M41" s="17"/>
      <c r="N41" s="17"/>
      <c r="O41" s="17"/>
      <c r="P41" s="17"/>
      <c r="Q41" s="17"/>
      <c r="R41" s="17"/>
      <c r="S41" s="17"/>
      <c r="T41" s="17"/>
      <c r="U41" s="17"/>
      <c r="V41" s="17"/>
      <c r="W41" s="17"/>
      <c r="X41" s="17"/>
      <c r="Y41" s="17"/>
      <c r="Z41" s="17"/>
      <c r="AA41" s="17"/>
      <c r="AB41" s="17"/>
      <c r="AC41" s="17"/>
    </row>
    <row r="42" spans="1:29" x14ac:dyDescent="0.35">
      <c r="A42" s="52" t="s">
        <v>102</v>
      </c>
      <c r="B42" s="17">
        <v>0</v>
      </c>
      <c r="C42" s="17">
        <v>1</v>
      </c>
      <c r="D42" s="17">
        <v>0</v>
      </c>
      <c r="E42" s="17">
        <v>0</v>
      </c>
      <c r="F42" s="17">
        <v>0</v>
      </c>
      <c r="G42" s="17">
        <v>0</v>
      </c>
      <c r="H42" s="17"/>
      <c r="I42" s="17"/>
      <c r="J42" s="17"/>
      <c r="K42" s="17"/>
      <c r="L42" s="17"/>
      <c r="M42" s="17"/>
      <c r="N42" s="17"/>
      <c r="O42" s="17"/>
      <c r="P42" s="17"/>
      <c r="Q42" s="17"/>
      <c r="R42" s="17"/>
      <c r="S42" s="17"/>
      <c r="T42" s="17"/>
      <c r="U42" s="17"/>
      <c r="V42" s="17"/>
      <c r="W42" s="17"/>
      <c r="X42" s="17"/>
      <c r="Y42" s="17"/>
      <c r="Z42" s="17"/>
      <c r="AA42" s="17"/>
      <c r="AB42" s="17"/>
      <c r="AC42" s="17"/>
    </row>
    <row r="43" spans="1:29" x14ac:dyDescent="0.35">
      <c r="A43" s="52" t="s">
        <v>122</v>
      </c>
      <c r="B43" s="17">
        <v>1</v>
      </c>
      <c r="C43" s="17">
        <v>0</v>
      </c>
      <c r="D43" s="17">
        <v>0</v>
      </c>
      <c r="E43" s="17">
        <v>1</v>
      </c>
      <c r="F43" s="17">
        <v>1</v>
      </c>
      <c r="G43" s="17">
        <v>0</v>
      </c>
      <c r="H43" s="17"/>
      <c r="I43" s="17"/>
      <c r="J43" s="17"/>
      <c r="K43" s="17"/>
      <c r="L43" s="17"/>
      <c r="M43" s="17"/>
      <c r="N43" s="17"/>
      <c r="O43" s="17"/>
      <c r="P43" s="17"/>
      <c r="Q43" s="17"/>
      <c r="R43" s="17"/>
      <c r="S43" s="17"/>
      <c r="T43" s="17"/>
      <c r="U43" s="17"/>
      <c r="V43" s="17"/>
      <c r="W43" s="17"/>
      <c r="X43" s="17"/>
      <c r="Y43" s="17"/>
      <c r="Z43" s="17"/>
      <c r="AA43" s="17"/>
      <c r="AB43" s="17"/>
      <c r="AC43" s="17"/>
    </row>
    <row r="44" spans="1:29" x14ac:dyDescent="0.35">
      <c r="A44" s="52" t="s">
        <v>125</v>
      </c>
      <c r="B44" s="17">
        <v>1</v>
      </c>
      <c r="C44" s="17">
        <v>0</v>
      </c>
      <c r="D44" s="17">
        <v>0</v>
      </c>
      <c r="E44" s="17">
        <v>1</v>
      </c>
      <c r="F44" s="17">
        <v>1</v>
      </c>
      <c r="G44" s="17">
        <v>0</v>
      </c>
      <c r="H44" s="17"/>
      <c r="I44" s="17"/>
      <c r="J44" s="17"/>
      <c r="K44" s="17"/>
      <c r="L44" s="17"/>
      <c r="M44" s="17"/>
      <c r="N44" s="17"/>
      <c r="O44" s="17"/>
      <c r="P44" s="17"/>
      <c r="Q44" s="17"/>
      <c r="R44" s="17"/>
      <c r="S44" s="17"/>
      <c r="T44" s="17"/>
      <c r="U44" s="17"/>
      <c r="V44" s="17"/>
      <c r="W44" s="17"/>
      <c r="X44" s="17"/>
      <c r="Y44" s="17"/>
      <c r="Z44" s="17"/>
      <c r="AA44" s="17"/>
      <c r="AB44" s="17"/>
      <c r="AC44" s="17"/>
    </row>
    <row r="45" spans="1:29" x14ac:dyDescent="0.35">
      <c r="A45" s="152" t="s">
        <v>261</v>
      </c>
      <c r="B45" s="17">
        <v>1</v>
      </c>
      <c r="C45" s="17">
        <v>1</v>
      </c>
      <c r="D45" s="17">
        <v>1</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row>
    <row r="46" spans="1:29" x14ac:dyDescent="0.35">
      <c r="A46" s="52" t="s">
        <v>663</v>
      </c>
      <c r="B46" s="17">
        <v>1</v>
      </c>
      <c r="C46" s="17">
        <v>1</v>
      </c>
      <c r="D46" s="17">
        <v>1</v>
      </c>
      <c r="E46" s="17">
        <v>1</v>
      </c>
      <c r="F46" s="17">
        <v>0</v>
      </c>
      <c r="G46" s="17">
        <v>0</v>
      </c>
      <c r="H46" s="17"/>
      <c r="I46" s="17"/>
      <c r="J46" s="17"/>
      <c r="K46" s="17"/>
      <c r="L46" s="17"/>
      <c r="M46" s="17"/>
      <c r="N46" s="17"/>
      <c r="O46" s="17"/>
      <c r="P46" s="17"/>
      <c r="Q46" s="17"/>
      <c r="R46" s="17"/>
      <c r="S46" s="17"/>
      <c r="T46" s="17"/>
      <c r="U46" s="17"/>
      <c r="V46" s="17"/>
      <c r="W46" s="17"/>
      <c r="X46" s="17"/>
      <c r="Y46" s="17"/>
      <c r="Z46" s="17"/>
      <c r="AA46" s="17"/>
      <c r="AB46" s="17"/>
      <c r="AC46" s="17"/>
    </row>
    <row r="47" spans="1:29" x14ac:dyDescent="0.35">
      <c r="A47" s="52" t="s">
        <v>664</v>
      </c>
      <c r="B47" s="17">
        <v>1</v>
      </c>
      <c r="C47" s="17">
        <v>1</v>
      </c>
      <c r="D47" s="17">
        <v>1</v>
      </c>
      <c r="E47" s="17">
        <v>1</v>
      </c>
      <c r="F47" s="17">
        <v>0</v>
      </c>
      <c r="G47" s="17">
        <v>1</v>
      </c>
      <c r="H47" s="17"/>
      <c r="I47" s="17"/>
      <c r="J47" s="17"/>
      <c r="K47" s="17"/>
      <c r="L47" s="17"/>
      <c r="M47" s="17"/>
      <c r="N47" s="17"/>
      <c r="O47" s="17"/>
      <c r="P47" s="17"/>
      <c r="Q47" s="17"/>
      <c r="R47" s="17"/>
      <c r="S47" s="17"/>
      <c r="T47" s="17"/>
      <c r="U47" s="17"/>
      <c r="V47" s="17"/>
      <c r="W47" s="17"/>
      <c r="X47" s="17"/>
      <c r="Y47" s="17"/>
      <c r="Z47" s="17"/>
      <c r="AA47" s="17"/>
      <c r="AB47" s="17"/>
      <c r="AC47" s="17"/>
    </row>
    <row r="48" spans="1:29" x14ac:dyDescent="0.35">
      <c r="A48" s="52" t="s">
        <v>147</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row>
    <row r="49" spans="1:29" s="16" customFormat="1" x14ac:dyDescent="0.35">
      <c r="A49" s="25" t="s">
        <v>629</v>
      </c>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row>
    <row r="50" spans="1:29" s="16" customFormat="1" x14ac:dyDescent="0.35">
      <c r="A50" s="17" t="s">
        <v>627</v>
      </c>
      <c r="B50" s="7">
        <v>1</v>
      </c>
      <c r="C50" s="7">
        <v>1</v>
      </c>
      <c r="D50" s="7">
        <v>1</v>
      </c>
      <c r="E50" s="7">
        <v>1</v>
      </c>
      <c r="F50" s="7">
        <v>1</v>
      </c>
      <c r="G50" s="7">
        <v>0</v>
      </c>
      <c r="H50" s="17"/>
      <c r="I50" s="17"/>
      <c r="J50" s="17"/>
      <c r="K50" s="17"/>
      <c r="L50" s="17"/>
      <c r="M50" s="17"/>
      <c r="N50" s="17"/>
      <c r="O50" s="17"/>
      <c r="P50" s="17"/>
      <c r="Q50" s="17"/>
      <c r="R50" s="17"/>
      <c r="S50" s="17"/>
      <c r="T50" s="17"/>
      <c r="U50" s="17"/>
      <c r="V50" s="17"/>
      <c r="W50" s="17"/>
      <c r="X50" s="17"/>
      <c r="Y50" s="17"/>
      <c r="Z50" s="17"/>
      <c r="AA50" s="17"/>
      <c r="AB50" s="17"/>
      <c r="AC50" s="17"/>
    </row>
    <row r="51" spans="1:29" s="16" customFormat="1" x14ac:dyDescent="0.35">
      <c r="A51" s="17" t="s">
        <v>628</v>
      </c>
      <c r="B51" s="7">
        <v>1</v>
      </c>
      <c r="C51" s="7">
        <v>1</v>
      </c>
      <c r="D51" s="7">
        <v>1</v>
      </c>
      <c r="E51" s="7">
        <v>1</v>
      </c>
      <c r="F51" s="7">
        <v>1</v>
      </c>
      <c r="G51" s="7">
        <v>0</v>
      </c>
      <c r="H51" s="17"/>
      <c r="I51" s="17"/>
      <c r="J51" s="17"/>
      <c r="K51" s="17"/>
      <c r="L51" s="17"/>
      <c r="M51" s="17"/>
      <c r="N51" s="17"/>
      <c r="O51" s="17"/>
      <c r="P51" s="17"/>
      <c r="Q51" s="17"/>
      <c r="R51" s="17"/>
      <c r="S51" s="17"/>
      <c r="T51" s="17"/>
      <c r="U51" s="17"/>
      <c r="V51" s="17"/>
      <c r="W51" s="17"/>
      <c r="X51" s="17"/>
      <c r="Y51" s="17"/>
      <c r="Z51" s="17"/>
      <c r="AA51" s="17"/>
      <c r="AB51" s="17"/>
      <c r="AC51" s="17"/>
    </row>
    <row r="52" spans="1:29" x14ac:dyDescent="0.35">
      <c r="A52" s="25" t="s">
        <v>429</v>
      </c>
      <c r="B52" s="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row>
    <row r="53" spans="1:29" x14ac:dyDescent="0.35">
      <c r="A53" s="4" t="s">
        <v>407</v>
      </c>
      <c r="B53" s="17">
        <v>512</v>
      </c>
      <c r="C53" s="17">
        <v>512</v>
      </c>
      <c r="D53" s="17">
        <v>512</v>
      </c>
      <c r="E53" s="17">
        <v>512</v>
      </c>
      <c r="F53" s="17">
        <v>512</v>
      </c>
      <c r="G53" s="17">
        <v>512</v>
      </c>
      <c r="H53" s="17"/>
      <c r="I53" s="17"/>
      <c r="J53" s="17"/>
      <c r="K53" s="17"/>
      <c r="L53" s="17"/>
      <c r="M53" s="17"/>
      <c r="N53" s="17"/>
      <c r="O53" s="17"/>
      <c r="P53" s="17"/>
      <c r="Q53" s="17"/>
      <c r="R53" s="17"/>
      <c r="S53" s="17"/>
      <c r="T53" s="17"/>
      <c r="U53" s="17"/>
      <c r="V53" s="17"/>
      <c r="W53" s="17"/>
      <c r="X53" s="17"/>
      <c r="Y53" s="17"/>
      <c r="Z53" s="17"/>
      <c r="AA53" s="17"/>
      <c r="AB53" s="17"/>
      <c r="AC53" s="17"/>
    </row>
    <row r="54" spans="1:29" x14ac:dyDescent="0.35">
      <c r="A54" s="4" t="s">
        <v>408</v>
      </c>
      <c r="B54" s="17">
        <v>32</v>
      </c>
      <c r="C54" s="17">
        <v>32</v>
      </c>
      <c r="D54" s="17">
        <v>32</v>
      </c>
      <c r="E54" s="17">
        <v>32</v>
      </c>
      <c r="F54" s="17">
        <v>32</v>
      </c>
      <c r="G54" s="17">
        <v>32</v>
      </c>
      <c r="H54" s="17"/>
      <c r="I54" s="17"/>
      <c r="J54" s="17"/>
      <c r="K54" s="17"/>
      <c r="L54" s="17"/>
      <c r="M54" s="17"/>
      <c r="N54" s="17"/>
      <c r="O54" s="17"/>
      <c r="P54" s="17"/>
      <c r="Q54" s="17"/>
      <c r="R54" s="17"/>
      <c r="S54" s="17"/>
      <c r="T54" s="17"/>
      <c r="U54" s="17"/>
      <c r="V54" s="17"/>
      <c r="W54" s="17"/>
      <c r="X54" s="17"/>
      <c r="Y54" s="17"/>
      <c r="Z54" s="17"/>
      <c r="AA54" s="17"/>
      <c r="AB54" s="17"/>
      <c r="AC54" s="17"/>
    </row>
    <row r="55" spans="1:29" x14ac:dyDescent="0.35">
      <c r="A55" s="4" t="s">
        <v>409</v>
      </c>
      <c r="B55" s="17">
        <v>256</v>
      </c>
      <c r="C55" s="17">
        <v>256</v>
      </c>
      <c r="D55" s="17">
        <v>256</v>
      </c>
      <c r="E55" s="17">
        <v>256</v>
      </c>
      <c r="F55" s="17">
        <v>256</v>
      </c>
      <c r="G55" s="17">
        <v>256</v>
      </c>
      <c r="H55" s="17"/>
      <c r="I55" s="17"/>
      <c r="J55" s="17"/>
      <c r="K55" s="17"/>
      <c r="L55" s="17"/>
      <c r="M55" s="17"/>
      <c r="N55" s="17"/>
      <c r="O55" s="17"/>
      <c r="P55" s="17"/>
      <c r="Q55" s="17"/>
      <c r="R55" s="17"/>
      <c r="S55" s="17"/>
      <c r="T55" s="17"/>
      <c r="U55" s="17"/>
      <c r="V55" s="17"/>
      <c r="W55" s="17"/>
      <c r="X55" s="17"/>
      <c r="Y55" s="17"/>
      <c r="Z55" s="17"/>
      <c r="AA55" s="17"/>
      <c r="AB55" s="17"/>
      <c r="AC55" s="17"/>
    </row>
    <row r="56" spans="1:29" s="16" customFormat="1" x14ac:dyDescent="0.35">
      <c r="A56" s="4" t="s">
        <v>410</v>
      </c>
      <c r="B56" s="17">
        <v>0</v>
      </c>
      <c r="C56" s="17">
        <v>0</v>
      </c>
      <c r="D56" s="17">
        <v>0</v>
      </c>
      <c r="E56" s="17">
        <v>256</v>
      </c>
      <c r="F56" s="17">
        <v>256</v>
      </c>
      <c r="G56" s="83">
        <v>0</v>
      </c>
      <c r="H56" s="17"/>
      <c r="I56" s="17"/>
      <c r="J56" s="17"/>
      <c r="K56" s="17"/>
      <c r="L56" s="17"/>
      <c r="M56" s="17"/>
      <c r="N56" s="17"/>
      <c r="O56" s="17"/>
      <c r="P56" s="17"/>
      <c r="Q56" s="17"/>
      <c r="R56" s="17"/>
      <c r="S56" s="17"/>
      <c r="T56" s="17"/>
      <c r="U56" s="17"/>
      <c r="V56" s="17"/>
      <c r="W56" s="17"/>
      <c r="X56" s="17"/>
      <c r="Y56" s="17"/>
      <c r="Z56" s="17"/>
      <c r="AA56" s="17"/>
      <c r="AB56" s="17"/>
      <c r="AC56" s="17"/>
    </row>
    <row r="57" spans="1:29" x14ac:dyDescent="0.35">
      <c r="A57" s="4" t="s">
        <v>434</v>
      </c>
      <c r="B57" s="17">
        <v>0</v>
      </c>
      <c r="C57" s="17">
        <v>0</v>
      </c>
      <c r="D57" s="17">
        <v>0</v>
      </c>
      <c r="E57" s="17">
        <v>0</v>
      </c>
      <c r="F57" s="17">
        <v>0</v>
      </c>
      <c r="G57" s="17">
        <v>1</v>
      </c>
      <c r="H57" s="17"/>
      <c r="I57" s="17"/>
      <c r="J57" s="17"/>
      <c r="K57" s="17"/>
      <c r="L57" s="17"/>
      <c r="M57" s="17"/>
      <c r="N57" s="17"/>
      <c r="O57" s="17"/>
      <c r="P57" s="17"/>
      <c r="Q57" s="17"/>
      <c r="R57" s="17"/>
      <c r="S57" s="17"/>
      <c r="T57" s="17"/>
      <c r="U57" s="17"/>
      <c r="V57" s="17"/>
      <c r="W57" s="17"/>
      <c r="X57" s="17"/>
      <c r="Y57" s="17"/>
      <c r="Z57" s="17"/>
      <c r="AA57" s="17"/>
      <c r="AB57" s="17"/>
      <c r="AC57" s="17"/>
    </row>
    <row r="58" spans="1:29" s="16" customFormat="1" x14ac:dyDescent="0.35">
      <c r="A58" s="25" t="s">
        <v>430</v>
      </c>
      <c r="B58" s="25"/>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row>
    <row r="59" spans="1:29" x14ac:dyDescent="0.35">
      <c r="A59" s="53" t="s">
        <v>17</v>
      </c>
      <c r="B59" s="17">
        <v>768</v>
      </c>
      <c r="C59" s="17">
        <v>768</v>
      </c>
      <c r="D59" s="17">
        <v>768</v>
      </c>
      <c r="E59" s="17">
        <v>768</v>
      </c>
      <c r="F59" s="17">
        <v>768</v>
      </c>
      <c r="G59" s="17">
        <v>768</v>
      </c>
      <c r="H59" s="17"/>
      <c r="I59" s="17"/>
      <c r="J59" s="17"/>
      <c r="K59" s="17"/>
      <c r="L59" s="17"/>
      <c r="M59" s="17"/>
      <c r="N59" s="17"/>
      <c r="O59" s="17"/>
      <c r="P59" s="17"/>
      <c r="Q59" s="17"/>
      <c r="R59" s="17"/>
      <c r="S59" s="17"/>
      <c r="T59" s="17"/>
      <c r="U59" s="17"/>
      <c r="V59" s="17"/>
      <c r="W59" s="17"/>
      <c r="X59" s="17"/>
      <c r="Y59" s="17"/>
      <c r="Z59" s="17"/>
      <c r="AA59" s="17"/>
      <c r="AB59" s="17"/>
      <c r="AC59" s="17"/>
    </row>
    <row r="60" spans="1:29" x14ac:dyDescent="0.35">
      <c r="A60" s="53" t="s">
        <v>411</v>
      </c>
      <c r="B60" s="17">
        <v>32</v>
      </c>
      <c r="C60" s="17">
        <v>32</v>
      </c>
      <c r="D60" s="17">
        <v>32</v>
      </c>
      <c r="E60" s="17">
        <v>160</v>
      </c>
      <c r="F60" s="17">
        <v>160</v>
      </c>
      <c r="G60" s="83">
        <v>192</v>
      </c>
      <c r="H60" s="17"/>
      <c r="I60" s="17"/>
      <c r="J60" s="17"/>
      <c r="K60" s="17"/>
      <c r="L60" s="17"/>
      <c r="M60" s="17"/>
      <c r="N60" s="17"/>
      <c r="O60" s="17"/>
      <c r="P60" s="17"/>
      <c r="Q60" s="17"/>
      <c r="R60" s="17"/>
      <c r="S60" s="17"/>
      <c r="T60" s="17"/>
      <c r="U60" s="17"/>
      <c r="V60" s="17"/>
      <c r="W60" s="17"/>
      <c r="X60" s="17"/>
      <c r="Y60" s="17"/>
      <c r="Z60" s="17"/>
      <c r="AA60" s="17"/>
      <c r="AB60" s="17"/>
      <c r="AC60" s="17"/>
    </row>
    <row r="61" spans="1:29" x14ac:dyDescent="0.35">
      <c r="A61" s="53" t="s">
        <v>23</v>
      </c>
      <c r="B61" s="17">
        <v>0</v>
      </c>
      <c r="C61" s="17">
        <v>0</v>
      </c>
      <c r="D61" s="17">
        <v>0</v>
      </c>
      <c r="E61" s="17">
        <v>0</v>
      </c>
      <c r="F61" s="83">
        <v>0</v>
      </c>
      <c r="G61" s="17">
        <v>0</v>
      </c>
      <c r="H61" s="17"/>
      <c r="I61" s="17"/>
      <c r="J61" s="17"/>
      <c r="K61" s="17"/>
      <c r="L61" s="17"/>
      <c r="M61" s="17"/>
      <c r="N61" s="17"/>
      <c r="O61" s="17"/>
      <c r="P61" s="17"/>
      <c r="Q61" s="17"/>
      <c r="R61" s="17"/>
      <c r="S61" s="17"/>
      <c r="T61" s="17"/>
      <c r="U61" s="17"/>
      <c r="V61" s="17"/>
      <c r="W61" s="17"/>
      <c r="X61" s="17"/>
      <c r="Y61" s="17"/>
      <c r="Z61" s="17"/>
      <c r="AA61" s="17"/>
      <c r="AB61" s="17"/>
      <c r="AC61" s="17"/>
    </row>
    <row r="62" spans="1:29" s="16" customFormat="1" x14ac:dyDescent="0.35">
      <c r="A62" s="53" t="s">
        <v>24</v>
      </c>
      <c r="B62" s="17">
        <v>32</v>
      </c>
      <c r="C62" s="17">
        <v>32</v>
      </c>
      <c r="D62" s="17">
        <v>32</v>
      </c>
      <c r="E62" s="17">
        <v>32</v>
      </c>
      <c r="F62" s="17">
        <v>32</v>
      </c>
      <c r="G62" s="17">
        <v>32</v>
      </c>
      <c r="H62" s="17"/>
      <c r="I62" s="17"/>
      <c r="J62" s="17"/>
      <c r="K62" s="17"/>
      <c r="L62" s="17"/>
      <c r="M62" s="17"/>
      <c r="N62" s="17"/>
      <c r="O62" s="17"/>
      <c r="P62" s="17"/>
      <c r="Q62" s="17"/>
      <c r="R62" s="17"/>
      <c r="S62" s="17"/>
      <c r="T62" s="17"/>
      <c r="U62" s="17"/>
      <c r="V62" s="17"/>
      <c r="W62" s="17"/>
      <c r="X62" s="17"/>
      <c r="Y62" s="17"/>
      <c r="Z62" s="17"/>
      <c r="AA62" s="17"/>
      <c r="AB62" s="17"/>
      <c r="AC62" s="17"/>
    </row>
    <row r="63" spans="1:29" x14ac:dyDescent="0.35">
      <c r="A63" s="53" t="s">
        <v>435</v>
      </c>
      <c r="B63" s="17">
        <v>0</v>
      </c>
      <c r="C63" s="17">
        <v>0</v>
      </c>
      <c r="D63" s="17">
        <v>0</v>
      </c>
      <c r="E63" s="17">
        <v>0</v>
      </c>
      <c r="F63" s="17">
        <v>0</v>
      </c>
      <c r="G63" s="83">
        <v>0</v>
      </c>
      <c r="H63" s="17"/>
      <c r="I63" s="17"/>
      <c r="J63" s="17"/>
      <c r="K63" s="17"/>
      <c r="L63" s="17"/>
      <c r="M63" s="17"/>
      <c r="N63" s="17"/>
      <c r="O63" s="17"/>
      <c r="P63" s="17"/>
      <c r="Q63" s="17"/>
      <c r="R63" s="17"/>
      <c r="S63" s="17"/>
      <c r="T63" s="17"/>
      <c r="U63" s="17"/>
      <c r="V63" s="17"/>
      <c r="W63" s="17"/>
      <c r="X63" s="17"/>
      <c r="Y63" s="17"/>
      <c r="Z63" s="17"/>
      <c r="AA63" s="17"/>
      <c r="AB63" s="17"/>
      <c r="AC63" s="17"/>
    </row>
    <row r="64" spans="1:29" x14ac:dyDescent="0.35">
      <c r="A64" s="25" t="s">
        <v>636</v>
      </c>
      <c r="B64" s="25"/>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row>
    <row r="65" spans="1:29" x14ac:dyDescent="0.35">
      <c r="A65" s="2" t="s">
        <v>631</v>
      </c>
      <c r="B65" s="17">
        <f>HEX2DEC(40)*8</f>
        <v>512</v>
      </c>
      <c r="C65" s="17">
        <v>512</v>
      </c>
      <c r="D65" s="17">
        <v>512</v>
      </c>
      <c r="E65" s="17">
        <f>HEX2DEC(40)*8</f>
        <v>512</v>
      </c>
      <c r="F65" s="17">
        <f>HEX2DEC(40)*8</f>
        <v>512</v>
      </c>
      <c r="G65" s="17">
        <v>0</v>
      </c>
      <c r="H65" s="17"/>
      <c r="I65" s="17"/>
      <c r="J65" s="17"/>
      <c r="K65" s="17"/>
      <c r="L65" s="17"/>
      <c r="M65" s="17"/>
      <c r="N65" s="17"/>
      <c r="O65" s="17"/>
      <c r="P65" s="17"/>
      <c r="Q65" s="17"/>
      <c r="R65" s="17"/>
      <c r="S65" s="17"/>
      <c r="T65" s="17"/>
      <c r="U65" s="17"/>
      <c r="V65" s="17"/>
      <c r="W65" s="17"/>
      <c r="X65" s="17"/>
      <c r="Y65" s="17"/>
      <c r="Z65" s="17"/>
      <c r="AA65" s="17"/>
      <c r="AB65" s="17"/>
      <c r="AC65" s="17"/>
    </row>
    <row r="66" spans="1:29" x14ac:dyDescent="0.35">
      <c r="A66" s="2" t="s">
        <v>632</v>
      </c>
      <c r="B66" s="17">
        <f>HEX2DEC(40)*8</f>
        <v>512</v>
      </c>
      <c r="C66" s="17">
        <v>512</v>
      </c>
      <c r="D66" s="17">
        <v>512</v>
      </c>
      <c r="E66" s="17">
        <f>HEX2DEC(40)*8</f>
        <v>512</v>
      </c>
      <c r="F66" s="17">
        <v>0</v>
      </c>
      <c r="G66" s="17">
        <v>0</v>
      </c>
      <c r="H66" s="17"/>
      <c r="I66" s="17"/>
      <c r="J66" s="17"/>
      <c r="K66" s="17"/>
      <c r="L66" s="17"/>
      <c r="M66" s="17"/>
      <c r="N66" s="17"/>
      <c r="O66" s="17"/>
      <c r="P66" s="17"/>
      <c r="Q66" s="17"/>
      <c r="R66" s="17"/>
      <c r="S66" s="17"/>
      <c r="T66" s="17"/>
      <c r="U66" s="17"/>
      <c r="V66" s="17"/>
      <c r="W66" s="17"/>
      <c r="X66" s="17"/>
      <c r="Y66" s="17"/>
      <c r="Z66" s="17"/>
      <c r="AA66" s="17"/>
      <c r="AB66" s="17"/>
      <c r="AC66" s="17"/>
    </row>
    <row r="67" spans="1:29" x14ac:dyDescent="0.35">
      <c r="A67" s="2" t="s">
        <v>634</v>
      </c>
      <c r="B67" s="17">
        <f>HEX2DEC(40)*8</f>
        <v>512</v>
      </c>
      <c r="C67" s="17">
        <v>512</v>
      </c>
      <c r="D67" s="17">
        <v>512</v>
      </c>
      <c r="E67" s="17">
        <v>0</v>
      </c>
      <c r="F67" s="17">
        <v>0</v>
      </c>
      <c r="G67" s="17">
        <v>0</v>
      </c>
      <c r="H67" s="17"/>
      <c r="I67" s="17"/>
      <c r="J67" s="17"/>
      <c r="K67" s="17"/>
      <c r="L67" s="17"/>
      <c r="M67" s="17"/>
      <c r="N67" s="17"/>
      <c r="O67" s="17"/>
      <c r="P67" s="17"/>
      <c r="Q67" s="17"/>
      <c r="R67" s="17"/>
      <c r="S67" s="17"/>
      <c r="T67" s="17"/>
      <c r="U67" s="17"/>
      <c r="V67" s="17"/>
      <c r="W67" s="17"/>
      <c r="X67" s="17"/>
      <c r="Y67" s="17"/>
      <c r="Z67" s="17"/>
      <c r="AA67" s="17"/>
      <c r="AB67" s="17"/>
      <c r="AC67" s="17"/>
    </row>
    <row r="68" spans="1:29" x14ac:dyDescent="0.35">
      <c r="A68" s="2" t="s">
        <v>685</v>
      </c>
      <c r="B68" s="17">
        <f>2048/32</f>
        <v>64</v>
      </c>
      <c r="C68" s="17">
        <f>2048/32</f>
        <v>64</v>
      </c>
      <c r="D68" s="17">
        <f>2048/32</f>
        <v>64</v>
      </c>
      <c r="E68" s="17">
        <f>4096/32</f>
        <v>128</v>
      </c>
      <c r="F68" s="17">
        <f>2048/32</f>
        <v>64</v>
      </c>
      <c r="G68" s="17">
        <f>0/32</f>
        <v>0</v>
      </c>
      <c r="H68" s="17"/>
      <c r="I68" s="17"/>
      <c r="J68" s="17"/>
      <c r="K68" s="17"/>
      <c r="L68" s="17"/>
      <c r="M68" s="17"/>
      <c r="N68" s="17"/>
      <c r="O68" s="17"/>
      <c r="P68" s="17"/>
      <c r="Q68" s="17"/>
      <c r="R68" s="17"/>
      <c r="S68" s="17"/>
      <c r="T68" s="17"/>
      <c r="U68" s="17"/>
      <c r="V68" s="17"/>
      <c r="W68" s="17"/>
      <c r="X68" s="17"/>
      <c r="Y68" s="17"/>
      <c r="Z68" s="17"/>
      <c r="AA68" s="17"/>
      <c r="AB68" s="17"/>
      <c r="AC68" s="17"/>
    </row>
    <row r="69" spans="1:29" x14ac:dyDescent="0.35">
      <c r="A69" s="2" t="s">
        <v>639</v>
      </c>
      <c r="B69" s="17">
        <v>0</v>
      </c>
      <c r="C69" s="17">
        <v>0</v>
      </c>
      <c r="D69" s="17">
        <v>0</v>
      </c>
      <c r="E69" s="17">
        <v>0</v>
      </c>
      <c r="F69" s="17">
        <v>0</v>
      </c>
      <c r="G69" s="83">
        <v>0</v>
      </c>
      <c r="H69" s="17"/>
      <c r="I69" s="17"/>
      <c r="J69" s="17"/>
      <c r="K69" s="17"/>
      <c r="L69" s="17"/>
      <c r="M69" s="17"/>
      <c r="N69" s="17"/>
      <c r="O69" s="17"/>
      <c r="P69" s="17"/>
      <c r="Q69" s="17"/>
      <c r="R69" s="17"/>
      <c r="S69" s="17"/>
      <c r="T69" s="17"/>
      <c r="U69" s="17"/>
      <c r="V69" s="17"/>
      <c r="W69" s="17"/>
      <c r="X69" s="17"/>
      <c r="Y69" s="17"/>
      <c r="Z69" s="17"/>
      <c r="AA69" s="17"/>
      <c r="AB69" s="17"/>
      <c r="AC69" s="17"/>
    </row>
  </sheetData>
  <mergeCells count="2">
    <mergeCell ref="E2:G2"/>
    <mergeCell ref="C2:D2"/>
  </mergeCells>
  <conditionalFormatting sqref="A53">
    <cfRule type="cellIs" dxfId="435" priority="9" operator="equal">
      <formula>0</formula>
    </cfRule>
  </conditionalFormatting>
  <conditionalFormatting sqref="A54">
    <cfRule type="cellIs" dxfId="434" priority="8" operator="equal">
      <formula>0</formula>
    </cfRule>
  </conditionalFormatting>
  <conditionalFormatting sqref="A55">
    <cfRule type="cellIs" dxfId="433" priority="7" operator="equal">
      <formula>0</formula>
    </cfRule>
  </conditionalFormatting>
  <conditionalFormatting sqref="A57">
    <cfRule type="cellIs" dxfId="432" priority="6" operator="equal">
      <formula>0</formula>
    </cfRule>
  </conditionalFormatting>
  <conditionalFormatting sqref="A59">
    <cfRule type="cellIs" priority="5" operator="equal">
      <formula>0</formula>
    </cfRule>
  </conditionalFormatting>
  <conditionalFormatting sqref="A60">
    <cfRule type="cellIs" dxfId="431" priority="4" operator="equal">
      <formula>0</formula>
    </cfRule>
  </conditionalFormatting>
  <conditionalFormatting sqref="A61">
    <cfRule type="cellIs" dxfId="430" priority="2" operator="equal">
      <formula>0</formula>
    </cfRule>
    <cfRule type="cellIs" dxfId="429" priority="3" operator="equal">
      <formula>0</formula>
    </cfRule>
  </conditionalFormatting>
  <conditionalFormatting sqref="A56">
    <cfRule type="cellIs" dxfId="428"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5"/>
  <sheetViews>
    <sheetView zoomScaleNormal="100" workbookViewId="0">
      <selection activeCell="J16" sqref="J16:K16"/>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412</v>
      </c>
      <c r="C1" s="29"/>
      <c r="D1" s="30" t="s">
        <v>622</v>
      </c>
      <c r="E1" s="30"/>
    </row>
    <row r="2" spans="1:15" ht="15" customHeight="1" thickBot="1" x14ac:dyDescent="0.4">
      <c r="A2" s="37" t="s">
        <v>0</v>
      </c>
      <c r="B2" s="43" t="s">
        <v>1</v>
      </c>
      <c r="C2" s="43" t="s">
        <v>383</v>
      </c>
      <c r="D2" s="43" t="s">
        <v>2</v>
      </c>
      <c r="E2" s="38" t="s">
        <v>436</v>
      </c>
      <c r="F2" s="86" t="s">
        <v>3</v>
      </c>
      <c r="G2" s="87" t="s">
        <v>4</v>
      </c>
      <c r="H2" s="87" t="s">
        <v>5</v>
      </c>
      <c r="I2" s="87" t="s">
        <v>6</v>
      </c>
      <c r="J2" s="87" t="s">
        <v>397</v>
      </c>
      <c r="K2" s="87" t="s">
        <v>398</v>
      </c>
      <c r="L2" s="87" t="s">
        <v>638</v>
      </c>
      <c r="M2" s="87" t="s">
        <v>7</v>
      </c>
      <c r="N2" s="87" t="s">
        <v>8</v>
      </c>
      <c r="O2" s="121" t="s">
        <v>640</v>
      </c>
    </row>
    <row r="3" spans="1:15" ht="15" customHeight="1" x14ac:dyDescent="0.35">
      <c r="A3" s="164" t="s">
        <v>9</v>
      </c>
      <c r="B3" s="58" t="s">
        <v>407</v>
      </c>
      <c r="C3" s="58" t="s">
        <v>407</v>
      </c>
      <c r="D3" s="58" t="s">
        <v>10</v>
      </c>
      <c r="E3" s="44"/>
      <c r="F3" s="138" t="s">
        <v>11</v>
      </c>
      <c r="G3" s="80">
        <f ca="1">IF($C3="No Param",32,VLOOKUP($C3,INDIRECT(Config!$B$1),HLOOKUP(D$1,INDIRECT(Config!$E$1),2,FALSE),FALSE))</f>
        <v>512</v>
      </c>
      <c r="H3" s="31" t="s">
        <v>12</v>
      </c>
      <c r="I3" s="31" t="s">
        <v>13</v>
      </c>
      <c r="J3" s="31" t="s">
        <v>399</v>
      </c>
      <c r="K3" s="31" t="s">
        <v>399</v>
      </c>
      <c r="L3" s="31" t="str">
        <f ca="1">IF(VLOOKUP("EXT_FUSE_PULL_SUPP", INDIRECT(Config!$B$1),HLOOKUP(D$1,INDIRECT(Config!$E$1),2,FALSE),FALSE)=1, IF(G3&gt;0,CONCATENATE("CSME_Security_keys[",G3-1,":0]"), ""), "")</f>
        <v/>
      </c>
      <c r="M3" s="165" t="s">
        <v>379</v>
      </c>
      <c r="N3" s="168" t="s">
        <v>14</v>
      </c>
      <c r="O3" s="169">
        <f ca="1">($G3+$G4+$G5+$G6+$G7)</f>
        <v>1056</v>
      </c>
    </row>
    <row r="4" spans="1:15" ht="15" customHeight="1" x14ac:dyDescent="0.35">
      <c r="A4" s="164"/>
      <c r="B4" s="46" t="s">
        <v>408</v>
      </c>
      <c r="C4" s="46" t="s">
        <v>408</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399</v>
      </c>
      <c r="K4" s="17" t="s">
        <v>399</v>
      </c>
      <c r="L4" s="84" t="str">
        <f ca="1">IF(VLOOKUP("EXT_FUSE_PULL_SUPP", INDIRECT(Config!$B$1),HLOOKUP(D$1,INDIRECT(Config!$E$1),2,FALSE),FALSE)=1, IF(G4&gt;0,CONCATENATE("CSME_Security_Keys_Fuse_Check_Hash[",G4-1,":0]"), ""), "")</f>
        <v/>
      </c>
      <c r="M4" s="166"/>
      <c r="N4" s="166"/>
      <c r="O4" s="170"/>
    </row>
    <row r="5" spans="1:15" ht="15" customHeight="1" x14ac:dyDescent="0.35">
      <c r="A5" s="164"/>
      <c r="B5" s="46" t="s">
        <v>409</v>
      </c>
      <c r="C5" s="46" t="s">
        <v>409</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399</v>
      </c>
      <c r="K5" s="17" t="s">
        <v>399</v>
      </c>
      <c r="L5" s="84" t="str">
        <f ca="1">IF(VLOOKUP("EXT_FUSE_PULL_SUPP", INDIRECT(Config!$B$1),HLOOKUP(D$1,INDIRECT(Config!$E$1),2,FALSE),FALSE)=1, IF(G5&gt;0,CONCATENATE("CSME_Debug_Enabled_Security_Key[",G5-1,":0]"),""), "")</f>
        <v/>
      </c>
      <c r="M5" s="166"/>
      <c r="N5" s="166"/>
      <c r="O5" s="170"/>
    </row>
    <row r="6" spans="1:15" ht="15" customHeight="1" x14ac:dyDescent="0.35">
      <c r="A6" s="164"/>
      <c r="B6" s="90" t="s">
        <v>410</v>
      </c>
      <c r="C6" s="90" t="s">
        <v>410</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399</v>
      </c>
      <c r="K6" s="17" t="s">
        <v>399</v>
      </c>
      <c r="L6" s="84" t="str">
        <f ca="1">IF(VLOOKUP("EXT_FUSE_PULL_SUPP", INDIRECT(Config!$B$1),HLOOKUP(D$1,INDIRECT(Config!$E$1),2,FALSE),FALSE)=1, IF(G6&gt;0,CONCATENATE("CSME_Debug_Encryption_Security_Key[",G6-1,":0]"),""), "")</f>
        <v/>
      </c>
      <c r="M6" s="166"/>
      <c r="N6" s="166"/>
      <c r="O6" s="170"/>
    </row>
    <row r="7" spans="1:15" ht="15" customHeight="1" thickBot="1" x14ac:dyDescent="0.4">
      <c r="A7" s="164"/>
      <c r="B7" s="91" t="s">
        <v>434</v>
      </c>
      <c r="C7" s="99" t="s">
        <v>434</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399</v>
      </c>
      <c r="K7" s="33" t="s">
        <v>399</v>
      </c>
      <c r="L7" s="56" t="str">
        <f ca="1">IF(VLOOKUP("EXT_FUSE_PULL_SUPP", INDIRECT(Config!$B$1),HLOOKUP(D$1,INDIRECT(Config!$E$1),2,FALSE),FALSE)=1, IF(G7&gt;0,CONCATENATE("Security_Fuses_Valid[",G7-1,":0]"),""), "")</f>
        <v/>
      </c>
      <c r="M7" s="167"/>
      <c r="N7" s="167"/>
      <c r="O7" s="171"/>
    </row>
    <row r="8" spans="1:15" x14ac:dyDescent="0.35">
      <c r="A8" s="34" t="s">
        <v>16</v>
      </c>
      <c r="B8" s="92" t="s">
        <v>17</v>
      </c>
      <c r="C8" s="92" t="s">
        <v>17</v>
      </c>
      <c r="D8" s="44" t="s">
        <v>18</v>
      </c>
      <c r="E8" s="58"/>
      <c r="F8" s="88" t="s">
        <v>19</v>
      </c>
      <c r="G8" s="85">
        <f ca="1">IF($C8="No Param",32,VLOOKUP($C8,INDIRECT(Config!$B$1),HLOOKUP(D$1,INDIRECT(Config!$E$1),2,FALSE),FALSE))</f>
        <v>768</v>
      </c>
      <c r="H8" s="84" t="s">
        <v>572</v>
      </c>
      <c r="I8" s="84" t="s">
        <v>20</v>
      </c>
      <c r="J8" s="84" t="s">
        <v>399</v>
      </c>
      <c r="K8" s="84" t="s">
        <v>399</v>
      </c>
      <c r="L8" s="84" t="str">
        <f ca="1">IF(VLOOKUP("EXT_FUSE_PULL_SUPP", INDIRECT(Config!$B$1),HLOOKUP(D$1,INDIRECT(Config!$E$1),2,FALSE),FALSE)=1, IF(G8&gt;0,CONCATENATE("CSME_ECC_P384_ONDIE_ROM_CERT[",G8-1,":0]"), ""), "")</f>
        <v/>
      </c>
      <c r="M8" s="172" t="s">
        <v>380</v>
      </c>
      <c r="N8" s="175" t="s">
        <v>21</v>
      </c>
      <c r="O8" s="177">
        <f ca="1">($G8+$G9+$G10+$G12)</f>
        <v>960</v>
      </c>
    </row>
    <row r="9" spans="1:15" x14ac:dyDescent="0.35">
      <c r="A9" s="179" t="s">
        <v>22</v>
      </c>
      <c r="B9" s="93" t="s">
        <v>411</v>
      </c>
      <c r="C9" s="93" t="s">
        <v>411</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399</v>
      </c>
      <c r="K9" s="17" t="s">
        <v>399</v>
      </c>
      <c r="L9" s="84" t="str">
        <f ca="1">IF(VLOOKUP("EXT_FUSE_PULL_SUPP", INDIRECT(Config!$B$1),HLOOKUP(D$1,INDIRECT(Config!$E$1),2,FALSE),FALSE)=1, IF(G9&gt;0,CONCATENATE("CSME_HW_FW_Config_fuses[",G9-1,":0]"), ""), "")</f>
        <v/>
      </c>
      <c r="M9" s="173"/>
      <c r="N9" s="166"/>
      <c r="O9" s="170"/>
    </row>
    <row r="10" spans="1:15" x14ac:dyDescent="0.35">
      <c r="A10" s="180"/>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399</v>
      </c>
      <c r="K10" s="17" t="s">
        <v>399</v>
      </c>
      <c r="L10" s="84" t="str">
        <f ca="1">IF(VLOOKUP("EXT_FUSE_PULL_SUPP", INDIRECT(Config!$B$1),HLOOKUP(D$1,INDIRECT(Config!$E$1),2,FALSE),FALSE)=1, IF(G10&gt;0,CONCATENATE("GENERAL_FW_FUSES_CHECK[",G10-1,":0]"),""), "")</f>
        <v/>
      </c>
      <c r="M10" s="173"/>
      <c r="N10" s="166"/>
      <c r="O10" s="170"/>
    </row>
    <row r="11" spans="1:15" x14ac:dyDescent="0.35">
      <c r="A11" s="180"/>
      <c r="B11" s="63" t="s">
        <v>435</v>
      </c>
      <c r="C11" s="63" t="s">
        <v>435</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399</v>
      </c>
      <c r="K11" s="17" t="s">
        <v>399</v>
      </c>
      <c r="L11" s="84" t="str">
        <f ca="1">IF(VLOOKUP("EXT_FUSE_PULL_SUPP", INDIRECT(Config!$B$1),HLOOKUP(D$1,INDIRECT(Config!$E$1),2,FALSE),FALSE)=1, IF(G11&gt;0,CONCATENATE("FW_Fuses_Valid[",G11-1,":0]"),""), "")</f>
        <v/>
      </c>
      <c r="M11" s="173"/>
      <c r="N11" s="166"/>
      <c r="O11" s="170"/>
    </row>
    <row r="12" spans="1:15" ht="15" thickBot="1" x14ac:dyDescent="0.4">
      <c r="A12" s="181"/>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399</v>
      </c>
      <c r="K12" s="104" t="s">
        <v>399</v>
      </c>
      <c r="L12" s="120" t="str">
        <f ca="1">IF(VLOOKUP("EXT_FUSE_PULL_SUPP", INDIRECT(Config!$B$1),HLOOKUP(D$1,INDIRECT(Config!$E$1),2,FALSE),FALSE)=1, IF(G12&gt;0,CONCATENATE("HW_OCS_PUF_ECC[",G12-1,":0]"),""), "")</f>
        <v/>
      </c>
      <c r="M12" s="174"/>
      <c r="N12" s="176"/>
      <c r="O12" s="178"/>
    </row>
    <row r="13" spans="1:15" ht="15" customHeight="1" x14ac:dyDescent="0.35">
      <c r="A13" s="179" t="s">
        <v>25</v>
      </c>
      <c r="B13" s="44" t="s">
        <v>26</v>
      </c>
      <c r="C13" s="48" t="s">
        <v>626</v>
      </c>
      <c r="D13" s="182" t="s">
        <v>27</v>
      </c>
      <c r="E13" s="128"/>
      <c r="F13" s="138" t="s">
        <v>28</v>
      </c>
      <c r="G13" s="80">
        <f ca="1">IF($C13="No Param",32,VLOOKUP($C13,INDIRECT(Config!$B$1),HLOOKUP(D$1,INDIRECT(Config!$E$1),2,FALSE),FALSE)*32)</f>
        <v>32</v>
      </c>
      <c r="H13" s="31" t="s">
        <v>29</v>
      </c>
      <c r="I13" s="31" t="s">
        <v>30</v>
      </c>
      <c r="J13"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3"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3" s="31" t="str">
        <f ca="1">IF(VLOOKUP("EXT_FUSE_PULL_SUPP", INDIRECT(Config!$B$1),HLOOKUP(D$1,INDIRECT(Config!$E$1),2,FALSE),FALSE)=1, IF(G13&gt;0,CONCATENATE("CSME_HW_FW_Config_fusess[",G13-1,":0]"), ""), "")</f>
        <v/>
      </c>
      <c r="M13" s="165" t="s">
        <v>381</v>
      </c>
      <c r="N13" s="168" t="s">
        <v>31</v>
      </c>
      <c r="O13" s="169">
        <f ca="1">(4*32+G17+G18+G19+G20+G21+G22)</f>
        <v>160</v>
      </c>
    </row>
    <row r="14" spans="1:15" x14ac:dyDescent="0.35">
      <c r="A14" s="180"/>
      <c r="B14" s="46" t="s">
        <v>32</v>
      </c>
      <c r="C14" s="49" t="s">
        <v>626</v>
      </c>
      <c r="D14" s="183"/>
      <c r="E14" s="12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4"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4" s="17" t="str">
        <f ca="1">IF(VLOOKUP("EXT_FUSE_PULL_SUPP", INDIRECT(Config!$B$1),HLOOKUP(D$1,INDIRECT(Config!$E$1),2,FALSE),FALSE)=1, IF(G14&gt;0,CONCATENATE("CSME_HW_FW_Config_fusess[",G14-1+G13,":",G13,"]"), ""), "")</f>
        <v/>
      </c>
      <c r="M14" s="184"/>
      <c r="N14" s="166"/>
      <c r="O14" s="170"/>
    </row>
    <row r="15" spans="1:15" x14ac:dyDescent="0.35">
      <c r="A15" s="180"/>
      <c r="B15" s="46" t="s">
        <v>33</v>
      </c>
      <c r="C15" s="49" t="s">
        <v>626</v>
      </c>
      <c r="D15" s="183"/>
      <c r="E15" s="12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5"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5" s="17" t="str">
        <f ca="1">IF(VLOOKUP("EXT_FUSE_PULL_SUPP", INDIRECT(Config!$B$1),HLOOKUP(D$1,INDIRECT(Config!$E$1),2,FALSE),FALSE)=1, IF(G15&gt;0,CONCATENATE("CSME_HW_FW_Config_fusess[",G15-1+G14+G13,":",G14+G13,"]"), ""), "")</f>
        <v/>
      </c>
      <c r="M15" s="184"/>
      <c r="N15" s="166"/>
      <c r="O15" s="170"/>
    </row>
    <row r="16" spans="1:15" x14ac:dyDescent="0.35">
      <c r="A16" s="180"/>
      <c r="B16" s="46" t="s">
        <v>34</v>
      </c>
      <c r="C16" s="49" t="s">
        <v>626</v>
      </c>
      <c r="D16" s="183"/>
      <c r="E16" s="12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6"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6" s="17" t="str">
        <f ca="1">IF(VLOOKUP("EXT_FUSE_PULL_SUPP", INDIRECT(Config!$B$1),HLOOKUP(D$1,INDIRECT(Config!$E$1),2,FALSE),FALSE)=1, IF(G16&gt;0,CONCATENATE("CSME_HW_FW_Config_fusess[",G16-1+G15+G14+G13,":",G15+G14+G13,"]"), ""), "")</f>
        <v/>
      </c>
      <c r="M16" s="184"/>
      <c r="N16" s="166"/>
      <c r="O16" s="170"/>
    </row>
    <row r="17" spans="1:15" x14ac:dyDescent="0.35">
      <c r="A17" s="180"/>
      <c r="B17" s="46" t="s">
        <v>36</v>
      </c>
      <c r="C17" s="46" t="s">
        <v>261</v>
      </c>
      <c r="D17" s="183"/>
      <c r="E17" s="12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Group1!C93)*Group1!G93*Group1!M93
+_xlfn.BITLSHIFT(1, Group1!C94)*Group1!G94*Group1!M94
+_xlfn.BITLSHIFT(1, Group1!C95)*Group1!G95*Group1!M95
+_xlfn.BITLSHIFT(1, Group1!C96)*Group1!G96*Group1!M96, 8))</f>
        <v>0x00000000</v>
      </c>
      <c r="K17" s="17" t="str">
        <f ca="1">CONCATENATE("0x", DEC2HEX(
 _xlfn.BITLSHIFT(1, Group1!C93)*Group1!H93*Group1!M93
+_xlfn.BITLSHIFT(1, Group1!C94)*Group1!H94*Group1!M94
+_xlfn.BITLSHIFT(1, Group1!C95)*Group1!H95*Group1!M95
+_xlfn.BITLSHIFT(1, Group1!C96)*Group1!H96*Group1!M96, 8))</f>
        <v>0x00000000</v>
      </c>
      <c r="L17" s="17" t="str">
        <f ca="1">IF(VLOOKUP("EXT_FUSE_PULL_SUPP", INDIRECT(Config!$B$1),HLOOKUP(D$1,INDIRECT(Config!$E$1),2,FALSE),FALSE)=1, IF(G17&gt;0,CONCATENATE("CSME_HW_FW_Config_fusess[",G17-1+G16+G15+G14+G13,":",G16+G15+G14+G13,"]"), ""), "")</f>
        <v/>
      </c>
      <c r="M17" s="184"/>
      <c r="N17" s="166"/>
      <c r="O17" s="170"/>
    </row>
    <row r="18" spans="1:15" x14ac:dyDescent="0.35">
      <c r="A18" s="180"/>
      <c r="B18" s="46" t="s">
        <v>38</v>
      </c>
      <c r="C18" s="95" t="s">
        <v>221</v>
      </c>
      <c r="D18" s="183"/>
      <c r="E18" s="12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Group1!C97)*Group1!G97*Group1!M97
+_xlfn.BITLSHIFT(1, Group1!C98)*Group1!G98*Group1!M98
+_xlfn.BITLSHIFT(1, Group1!C99)*Group1!G99*Group1!M99
+_xlfn.BITLSHIFT(1, Group1!C100)*Group1!G100*Group1!M100, 8))</f>
        <v>0x00000000</v>
      </c>
      <c r="K18" s="17" t="str">
        <f ca="1">CONCATENATE("0x", DEC2HEX(
 _xlfn.BITLSHIFT(1, Group1!C97)*Group1!H97*Group1!M97
+_xlfn.BITLSHIFT(1, Group1!C98)*Group1!H98*Group1!M98
+_xlfn.BITLSHIFT(1, Group1!C99)*Group1!H99*Group1!M99
+_xlfn.BITLSHIFT(1, Group1!C100)*Group1!H100*Group1!M100, 8))</f>
        <v>0x00000000</v>
      </c>
      <c r="L18" s="17" t="str">
        <f ca="1">IF(VLOOKUP("EXT_FUSE_PULL_SUPP", INDIRECT(Config!$B$1),HLOOKUP(D$1,INDIRECT(Config!$E$1),2,FALSE),FALSE)=1, IF(G18&gt;0,CONCATENATE("CSME_HW_FW_Config_fusess[",G18-1+G17+G16+G15+G14+G13,":",G17+G16+G15+G14+G13,"]"), ""), "")</f>
        <v/>
      </c>
      <c r="M18" s="184"/>
      <c r="N18" s="166"/>
      <c r="O18" s="170"/>
    </row>
    <row r="19" spans="1:15" x14ac:dyDescent="0.35">
      <c r="A19" s="180"/>
      <c r="B19" s="95" t="s">
        <v>254</v>
      </c>
      <c r="C19" s="95" t="s">
        <v>209</v>
      </c>
      <c r="D19" s="183"/>
      <c r="E19" s="129"/>
      <c r="F19" s="89" t="s">
        <v>28</v>
      </c>
      <c r="G19" s="51">
        <f ca="1">IF($C19="No Param",32,VLOOKUP($C19,INDIRECT(Config!$B$1),HLOOKUP(D$1,INDIRECT(Config!$E$1),2,FALSE),FALSE)*32)</f>
        <v>0</v>
      </c>
      <c r="H19" s="17" t="str">
        <f ca="1">IF(G19=0, "N/A", CONCATENATE("0x",DEC2HEX(HEX2DEC(SUBSTITUTE(H17,"0x",""))+(G17+G18)/8)))</f>
        <v>N/A</v>
      </c>
      <c r="I19" s="7" t="s">
        <v>390</v>
      </c>
      <c r="J19" s="7" t="str">
        <f ca="1">CONCATENATE("0x", DEC2HEX(
 _xlfn.BITLSHIFT(1, Group1!C87)*Group1!G87*Group1!M87
+_xlfn.BITLSHIFT(1, Group1!C88)*Group1!G88*Group1!M88
+_xlfn.BITLSHIFT(1, Group1!C89)*Group1!G89*Group1!M89, 8))</f>
        <v>0x00000000</v>
      </c>
      <c r="K19" s="7" t="str">
        <f ca="1">CONCATENATE("0x", DEC2HEX(
 _xlfn.BITLSHIFT(1, Group1!C87)*Group1!H87*Group1!M87
+_xlfn.BITLSHIFT(1, Group1!C88)*Group1!H88*Group1!M88
+_xlfn.BITLSHIFT(1, Group1!C89)*Group1!H89*Group1!M89, 8))</f>
        <v>0x00000000</v>
      </c>
      <c r="L19" s="17" t="str">
        <f ca="1">IF(VLOOKUP("EXT_FUSE_PULL_SUPP", INDIRECT(Config!$B$1),HLOOKUP(D$1,INDIRECT(Config!$E$1),2,FALSE),FALSE)=1, IF(G19&gt;0,CONCATENATE("CSME_HW_FW_Config_fusess[",G19-1+G18+G17+G16+G15+G14+G13,":",G18+G17+G16+G15+G14+G13,"]"), ""), "")</f>
        <v/>
      </c>
      <c r="M19" s="184"/>
      <c r="N19" s="166"/>
      <c r="O19" s="170"/>
    </row>
    <row r="20" spans="1:15" x14ac:dyDescent="0.35">
      <c r="A20" s="180"/>
      <c r="B20" s="95" t="s">
        <v>258</v>
      </c>
      <c r="C20" s="95" t="s">
        <v>402</v>
      </c>
      <c r="D20" s="183"/>
      <c r="E20" s="129"/>
      <c r="F20" s="89" t="s">
        <v>28</v>
      </c>
      <c r="G20" s="51">
        <f ca="1">IF($C20="No Param",32,VLOOKUP($C20,INDIRECT(Config!$B$1),HLOOKUP(D$1,INDIRECT(Config!$E$1),2,FALSE),FALSE)*32)</f>
        <v>0</v>
      </c>
      <c r="H20" s="17" t="str">
        <f ca="1">IF(G20=0, "N/A", CONCATENATE("0x",DEC2HEX(HEX2DEC(SUBSTITUTE(H17,"0x",""))+(G17+G18+G19)/8)))</f>
        <v>N/A</v>
      </c>
      <c r="I20" s="7" t="s">
        <v>391</v>
      </c>
      <c r="J20" s="7" t="str">
        <f ca="1">CONCATENATE("0x", DEC2HEX(
 _xlfn.BITLSHIFT(1, Group1!C90)*Group1!G90*Group1!M90, 8))</f>
        <v>0x00000000</v>
      </c>
      <c r="K20" s="7" t="str">
        <f ca="1">CONCATENATE("0x", DEC2HEX(
 _xlfn.BITLSHIFT(1, Group1!C90)*Group1!H90*Group1!M90, 8))</f>
        <v>0x00000000</v>
      </c>
      <c r="L20" s="17" t="str">
        <f ca="1">IF(VLOOKUP("EXT_FUSE_PULL_SUPP", INDIRECT(Config!$B$1),HLOOKUP(D$1,INDIRECT(Config!$E$1),2,FALSE),FALSE)=1, IF(G20&gt;0,CONCATENATE("CSME_HW_FW_Config_fusess[",G20-1+G19+G18+G17+G16+G15+G14+G13,":",G19+G18+G17+G16+G15+G14+G13,"]"), ""), "")</f>
        <v/>
      </c>
      <c r="M20" s="184"/>
      <c r="N20" s="166"/>
      <c r="O20" s="170"/>
    </row>
    <row r="21" spans="1:15" x14ac:dyDescent="0.35">
      <c r="A21" s="180"/>
      <c r="B21" s="95" t="s">
        <v>259</v>
      </c>
      <c r="C21" s="95" t="s">
        <v>402</v>
      </c>
      <c r="D21" s="183"/>
      <c r="E21" s="129"/>
      <c r="F21" s="89" t="s">
        <v>28</v>
      </c>
      <c r="G21" s="51">
        <f ca="1">IF($C21="No Param",32,VLOOKUP($C21,INDIRECT(Config!$B$1),HLOOKUP(D$1,INDIRECT(Config!$E$1),2,FALSE),FALSE)*32)</f>
        <v>0</v>
      </c>
      <c r="H21" s="17" t="str">
        <f ca="1">IF(G21=0, "N/A", CONCATENATE("0x",DEC2HEX(HEX2DEC(SUBSTITUTE(H17,"0x",""))+(G17+G18+G19+G20)/8)))</f>
        <v>N/A</v>
      </c>
      <c r="I21" s="7" t="s">
        <v>392</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IF(G21&gt;0,CONCATENATE("CSME_HW_FW_Config_fusess[",G21-1+G20+G19+G18+G17+G16+G15+G14+G13,":",G20+G19+G18+G17+G16+G15+G14+G13,"]"), ""), "")</f>
        <v/>
      </c>
      <c r="M21" s="184"/>
      <c r="N21" s="166"/>
      <c r="O21" s="170"/>
    </row>
    <row r="22" spans="1:15" x14ac:dyDescent="0.35">
      <c r="A22" s="180"/>
      <c r="B22" s="95" t="s">
        <v>260</v>
      </c>
      <c r="C22" s="95" t="s">
        <v>402</v>
      </c>
      <c r="D22" s="183"/>
      <c r="E22" s="129"/>
      <c r="F22" s="89" t="s">
        <v>28</v>
      </c>
      <c r="G22" s="51">
        <f ca="1">IF($C22="No Param",32,VLOOKUP($C22,INDIRECT(Config!$B$1),HLOOKUP(D$1,INDIRECT(Config!$E$1),2,FALSE),FALSE)*32)</f>
        <v>0</v>
      </c>
      <c r="H22" s="17" t="str">
        <f ca="1">IF(G22=0, "N/A", CONCATENATE("0x",DEC2HEX(HEX2DEC(SUBSTITUTE(H17,"0x",""))+(G17+G18+G19+G20+G21)/8)))</f>
        <v>N/A</v>
      </c>
      <c r="I22" s="7" t="s">
        <v>393</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IF(G22&gt;0,CONCATENATE("CSME_HW_FW_Config_fusess[",G22-1+G21+G20+G19+G18+G17+G16+G15+G14+G13,":",G21+G20+G19+G18+G17+G16+G15+G14+G13,"]"), ""), "")</f>
        <v/>
      </c>
      <c r="M22" s="184"/>
      <c r="N22" s="166"/>
      <c r="O22" s="170"/>
    </row>
    <row r="23" spans="1:15" x14ac:dyDescent="0.35">
      <c r="A23" s="180"/>
      <c r="B23" s="46" t="s">
        <v>40</v>
      </c>
      <c r="C23" s="49" t="s">
        <v>626</v>
      </c>
      <c r="D23" s="183"/>
      <c r="E23" s="129"/>
      <c r="F23" s="89" t="s">
        <v>28</v>
      </c>
      <c r="G23" s="51">
        <f ca="1">IF($C23="No Param",32,VLOOKUP($C23,INDIRECT(Config!$B$1),HLOOKUP(D$1,INDIRECT(Config!$E$1),2,FALSE),FALSE)*32)</f>
        <v>32</v>
      </c>
      <c r="H23" s="17" t="s">
        <v>41</v>
      </c>
      <c r="I23" s="17" t="s">
        <v>42</v>
      </c>
      <c r="J23" s="17" t="str">
        <f>CONCATENATE("0x", DEC2HEX(
 _xlfn.BITLSHIFT(1, Group1!C101)*Group1!G101*Group1!M101
+_xlfn.BITLSHIFT(1, Group1!C102)*Group1!G102*Group1!M102
+_xlfn.BITLSHIFT(1, Group1!C103)*Group1!G103*Group1!M103
+_xlfn.BITLSHIFT(1, Group1!C104)*Group1!G104*Group1!M104, 8))</f>
        <v>0x00000000</v>
      </c>
      <c r="K23" s="17" t="str">
        <f>CONCATENATE("0x", DEC2HEX(
 _xlfn.BITLSHIFT(1, Group1!C101)*Group1!H101*Group1!M101
+_xlfn.BITLSHIFT(1, Group1!C102)*Group1!H102*Group1!M102
+_xlfn.BITLSHIFT(1, Group1!C103)*Group1!H103*Group1!M103
+_xlfn.BITLSHIFT(1, Group1!C104)*Group1!H104*Group1!M104, 8))</f>
        <v>0x0A000000</v>
      </c>
      <c r="L23" s="17" t="str">
        <f ca="1">IF(VLOOKUP("EXT_FUSE_PULL_SUPP", INDIRECT(Config!$B$1),HLOOKUP(D$1,INDIRECT(Config!$E$1),2,FALSE),FALSE)=1, IF(G23&gt;0,CONCATENATE("CSME_HW_FW_INT_CHK[",G23-1,":0]"),""), "")</f>
        <v/>
      </c>
      <c r="M23" s="184"/>
      <c r="N23" s="166"/>
      <c r="O23" s="170"/>
    </row>
    <row r="24" spans="1:15" x14ac:dyDescent="0.35">
      <c r="A24" s="179" t="s">
        <v>43</v>
      </c>
      <c r="B24" s="46" t="s">
        <v>44</v>
      </c>
      <c r="C24" s="46" t="s">
        <v>627</v>
      </c>
      <c r="D24" s="183" t="s">
        <v>45</v>
      </c>
      <c r="E24" s="149"/>
      <c r="F24" s="89" t="s">
        <v>46</v>
      </c>
      <c r="G24" s="51">
        <f ca="1">IF($C24="No Param",32,VLOOKUP($C24,INDIRECT(Config!$B$1),HLOOKUP(D$1,INDIRECT(Config!$E$1),2,FALSE),FALSE)*32)</f>
        <v>32</v>
      </c>
      <c r="H24" s="17" t="str">
        <f ca="1">IF(G24=0,"N/A","0x8000")</f>
        <v>0x8000</v>
      </c>
      <c r="I24" s="17" t="s">
        <v>47</v>
      </c>
      <c r="J24" s="17" t="s">
        <v>399</v>
      </c>
      <c r="K24" s="17" t="s">
        <v>399</v>
      </c>
      <c r="L24" s="17"/>
      <c r="M24" s="184" t="s">
        <v>382</v>
      </c>
      <c r="N24" s="166"/>
      <c r="O24" s="170">
        <f ca="1">(G24+G25)</f>
        <v>64</v>
      </c>
    </row>
    <row r="25" spans="1:15" ht="15" thickBot="1" x14ac:dyDescent="0.4">
      <c r="A25" s="185"/>
      <c r="B25" s="96" t="s">
        <v>48</v>
      </c>
      <c r="C25" s="96" t="s">
        <v>628</v>
      </c>
      <c r="D25" s="186"/>
      <c r="E25" s="150"/>
      <c r="F25" s="98" t="s">
        <v>46</v>
      </c>
      <c r="G25" s="97">
        <f ca="1">IF($C25="No Param",32,VLOOKUP($C25,INDIRECT(Config!$B$1),HLOOKUP(D$1,INDIRECT(Config!$E$1),2,FALSE),FALSE)*32)</f>
        <v>32</v>
      </c>
      <c r="H25" s="33" t="str">
        <f ca="1">IF(G25=0,"N/A","0x8004")</f>
        <v>0x8004</v>
      </c>
      <c r="I25" s="33" t="s">
        <v>49</v>
      </c>
      <c r="J25" s="33" t="s">
        <v>399</v>
      </c>
      <c r="K25" s="33" t="s">
        <v>399</v>
      </c>
      <c r="L25" s="33"/>
      <c r="M25" s="167"/>
      <c r="N25" s="167"/>
      <c r="O25" s="171"/>
    </row>
    <row r="26" spans="1:15" ht="15" thickBot="1" x14ac:dyDescent="0.4">
      <c r="A26" s="130"/>
    </row>
    <row r="27" spans="1:15" x14ac:dyDescent="0.35">
      <c r="A27" s="182" t="s">
        <v>51</v>
      </c>
      <c r="B27" s="105" t="s">
        <v>631</v>
      </c>
      <c r="C27" s="105" t="s">
        <v>631</v>
      </c>
      <c r="D27" s="105"/>
      <c r="E27" s="134"/>
      <c r="F27" s="115" t="s">
        <v>52</v>
      </c>
      <c r="G27" s="116">
        <f ca="1">IF($C27="No Param",32,VLOOKUP($C27,INDIRECT(Config!$B$1),HLOOKUP(D$1,INDIRECT(Config!$E$1),2,FALSE),FALSE))</f>
        <v>512</v>
      </c>
      <c r="H27" s="107" t="s">
        <v>53</v>
      </c>
      <c r="I27" s="139" t="s">
        <v>637</v>
      </c>
      <c r="J27" s="139" t="s">
        <v>399</v>
      </c>
      <c r="K27" s="139" t="s">
        <v>399</v>
      </c>
      <c r="L27" s="139"/>
      <c r="M27" s="140" t="s">
        <v>50</v>
      </c>
      <c r="N27" s="168" t="s">
        <v>50</v>
      </c>
      <c r="O27" s="169">
        <f ca="1">SUM(G27:G41)</f>
        <v>5184</v>
      </c>
    </row>
    <row r="28" spans="1:15" ht="15" customHeight="1" x14ac:dyDescent="0.35">
      <c r="A28" s="183"/>
      <c r="B28" s="46" t="s">
        <v>54</v>
      </c>
      <c r="C28" s="46" t="s">
        <v>261</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399</v>
      </c>
      <c r="K28" s="17" t="s">
        <v>399</v>
      </c>
      <c r="L28" s="84" t="str">
        <f ca="1">IF(VLOOKUP("EXT_FUSE_PULL_SUPP", INDIRECT(Config!$B$1),HLOOKUP(D$1,INDIRECT(Config!$E$1),2,FALSE),FALSE)=1, IF(G28&gt;0,CONCATENATE("GSK_OEM_IFP_CONFIG[",G28-1,":0]"),""), "")</f>
        <v/>
      </c>
      <c r="M28" s="184" t="s">
        <v>381</v>
      </c>
      <c r="N28" s="166"/>
      <c r="O28" s="170"/>
    </row>
    <row r="29" spans="1:15" x14ac:dyDescent="0.35">
      <c r="A29" s="183"/>
      <c r="B29" s="46" t="s">
        <v>56</v>
      </c>
      <c r="C29" s="46" t="s">
        <v>261</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399</v>
      </c>
      <c r="K29" s="17" t="s">
        <v>399</v>
      </c>
      <c r="L29" s="84" t="str">
        <f ca="1">IF(VLOOKUP("EXT_FUSE_PULL_SUPP", INDIRECT(Config!$B$1),HLOOKUP(D$1,INDIRECT(Config!$E$1),2,FALSE),FALSE)=1, IF(G29&gt;0,CONCATENATE("GSK_TRC_DIS[",G29-1,":0]"),""), "")</f>
        <v/>
      </c>
      <c r="M29" s="184"/>
      <c r="N29" s="166"/>
      <c r="O29" s="170"/>
    </row>
    <row r="30" spans="1:15" x14ac:dyDescent="0.35">
      <c r="A30" s="183"/>
      <c r="B30" s="46" t="s">
        <v>371</v>
      </c>
      <c r="C30" s="17" t="s">
        <v>372</v>
      </c>
      <c r="D30" s="46" t="s">
        <v>564</v>
      </c>
      <c r="E30" s="40"/>
      <c r="F30" s="32" t="s">
        <v>52</v>
      </c>
      <c r="G30" s="51">
        <f ca="1">VLOOKUP("OEM_SECRET_KEY_FUSES_LIMIT", INDIRECT(Config!$B$1), HLOOKUP(D$1, INDIRECT(Config!$E$1), 2, FALSE),FALSE)*32</f>
        <v>0</v>
      </c>
      <c r="H30" s="17" t="s">
        <v>417</v>
      </c>
      <c r="I30" s="17" t="str">
        <f>CONCATENATE("0x",DEC2HEX(HEX2DEC(SUBSTITUTE(I27,"0x",""))+HEX2DEC(SUBSTITUTE(H30,"0x",""))))</f>
        <v>0xF00B0880</v>
      </c>
      <c r="J30" s="17" t="s">
        <v>399</v>
      </c>
      <c r="K30" s="17" t="s">
        <v>399</v>
      </c>
      <c r="L30" s="84" t="str">
        <f ca="1">IF(VLOOKUP("EXT_FUSE_PULL_SUPP", INDIRECT(Config!$B$1),HLOOKUP(D$1,INDIRECT(Config!$E$1),2,FALSE),FALSE)=1, IF(G30&gt;0,CONCATENATE("GSK_OEM_SECRET_KEYS_DWn[",G30-1,":0]"),""), "")</f>
        <v/>
      </c>
      <c r="M30" s="184"/>
      <c r="N30" s="166"/>
      <c r="O30" s="170"/>
    </row>
    <row r="31" spans="1:15" x14ac:dyDescent="0.35">
      <c r="A31" s="183"/>
      <c r="B31" s="109" t="s">
        <v>630</v>
      </c>
      <c r="C31" s="109" t="s">
        <v>685</v>
      </c>
      <c r="D31" s="133"/>
      <c r="E31" s="135" t="str">
        <f>CONCATENATE("This is a region for ",$D$1," FW IFPs")</f>
        <v>This is a region for MTL-SOC-M CSME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2048</v>
      </c>
      <c r="H31" s="110" t="s">
        <v>58</v>
      </c>
      <c r="I31" s="2" t="str">
        <f>CONCATENATE("0x",DEC2HEX(HEX2DEC(SUBSTITUTE(I27,"0x",""))+HEX2DEC(SUBSTITUTE(H31,"0x",""))))</f>
        <v>0xF00B0900</v>
      </c>
      <c r="J31" s="141" t="s">
        <v>399</v>
      </c>
      <c r="K31" s="141" t="s">
        <v>399</v>
      </c>
      <c r="L31" s="142" t="str">
        <f ca="1">IF(VLOOKUP("EXT_FUSE_PULL_SUPP", INDIRECT(Config!$B$1),HLOOKUP(D$1,INDIRECT(Config!$E$1),2,FALSE),FALSE)=1, IF(G31&gt;0,CONCATENATE("CSME_HW_IFP_FUSES[",G31-1,":0]"),""), "")</f>
        <v/>
      </c>
      <c r="M31" s="141" t="s">
        <v>50</v>
      </c>
      <c r="N31" s="166"/>
      <c r="O31" s="170"/>
    </row>
    <row r="32" spans="1:15" x14ac:dyDescent="0.35">
      <c r="A32" s="183"/>
      <c r="B32" s="109" t="s">
        <v>632</v>
      </c>
      <c r="C32" s="109" t="s">
        <v>632</v>
      </c>
      <c r="D32" s="109"/>
      <c r="E32" s="136"/>
      <c r="F32" s="117" t="s">
        <v>415</v>
      </c>
      <c r="G32" s="106">
        <f ca="1">IF($C32="No Param",32,VLOOKUP($C32,INDIRECT(Config!$B$1),HLOOKUP(D$1,INDIRECT(Config!$E$1),2,FALSE),FALSE))</f>
        <v>512</v>
      </c>
      <c r="H32" s="110" t="s">
        <v>425</v>
      </c>
      <c r="I32" s="2" t="str">
        <f>CONCATENATE("0x",DEC2HEX(HEX2DEC(SUBSTITUTE(I27,"0x",""))+HEX2DEC(SUBSTITUTE(H32,"0x",""))))</f>
        <v>0xF00B0A00</v>
      </c>
      <c r="J32" s="141" t="s">
        <v>399</v>
      </c>
      <c r="K32" s="141" t="s">
        <v>399</v>
      </c>
      <c r="L32" s="141"/>
      <c r="M32" s="141" t="s">
        <v>50</v>
      </c>
      <c r="N32" s="166"/>
      <c r="O32" s="170"/>
    </row>
    <row r="33" spans="1:15" ht="15" customHeight="1" x14ac:dyDescent="0.35">
      <c r="A33" s="183"/>
      <c r="B33" s="46" t="s">
        <v>366</v>
      </c>
      <c r="C33" s="17" t="s">
        <v>367</v>
      </c>
      <c r="D33" s="46" t="s">
        <v>18</v>
      </c>
      <c r="E33" s="40"/>
      <c r="F33" s="32" t="s">
        <v>415</v>
      </c>
      <c r="G33" s="51">
        <f ca="1">IF(VLOOKUP("PARAM_INT_IFP_TRIPLE_RDD_DIS", INDIRECT(Config!$B$1), HLOOKUP(D$1, INDIRECT(Config!$E$1), 2, FALSE),FALSE)=0, VLOOKUP("TRC_PRESENT", INDIRECT(Config!$B$1), HLOOKUP(D$1, INDIRECT(Config!$E$1), 2, FALSE),FALSE)*32, 0)</f>
        <v>0</v>
      </c>
      <c r="H33" s="17" t="s">
        <v>420</v>
      </c>
      <c r="I33" s="17" t="str">
        <f>CONCATENATE("0x",DEC2HEX(HEX2DEC(SUBSTITUTE(I27,"0x",""))+HEX2DEC(SUBSTITUTE(H33,"0x",""))))</f>
        <v>0xF00B0A40</v>
      </c>
      <c r="J33" s="17" t="s">
        <v>399</v>
      </c>
      <c r="K33" s="17" t="s">
        <v>399</v>
      </c>
      <c r="L33" s="84" t="str">
        <f ca="1">IF(VLOOKUP("EXT_FUSE_PULL_SUPP", INDIRECT(Config!$B$1),HLOOKUP(D$1,INDIRECT(Config!$E$1),2,FALSE),FALSE)=1, IF(G33&gt;0,CONCATENATE("GSK_OEM_IFP_CONFIG_COPY1[",G33-1,":0]"),""), "")</f>
        <v/>
      </c>
      <c r="M33" s="184" t="s">
        <v>381</v>
      </c>
      <c r="N33" s="166"/>
      <c r="O33" s="170"/>
    </row>
    <row r="34" spans="1:15" x14ac:dyDescent="0.35">
      <c r="A34" s="183"/>
      <c r="B34" s="46" t="s">
        <v>413</v>
      </c>
      <c r="C34" s="17" t="s">
        <v>367</v>
      </c>
      <c r="D34" s="46" t="s">
        <v>18</v>
      </c>
      <c r="E34" s="40"/>
      <c r="F34" s="32" t="s">
        <v>415</v>
      </c>
      <c r="G34" s="51">
        <f ca="1">IF(VLOOKUP("PARAM_INT_IFP_TRIPLE_RDD_DIS", INDIRECT(Config!$B$1), HLOOKUP(D$1, INDIRECT(Config!$E$1), 2, FALSE),FALSE)=0, VLOOKUP("TRC_PRESENT", INDIRECT(Config!$B$1), HLOOKUP(D$1, INDIRECT(Config!$E$1), 2, FALSE),FALSE)*32, 0)</f>
        <v>0</v>
      </c>
      <c r="H34" s="17" t="s">
        <v>423</v>
      </c>
      <c r="I34" s="17" t="str">
        <f>CONCATENATE("0x",DEC2HEX(HEX2DEC(SUBSTITUTE(I27,"0x",""))+HEX2DEC(SUBSTITUTE(H34,"0x",""))))</f>
        <v>0xF00B0A44</v>
      </c>
      <c r="J34" s="17" t="s">
        <v>399</v>
      </c>
      <c r="K34" s="17" t="s">
        <v>399</v>
      </c>
      <c r="L34" s="84" t="str">
        <f ca="1">IF(VLOOKUP("EXT_FUSE_PULL_SUPP", INDIRECT(Config!$B$1),HLOOKUP(D$1,INDIRECT(Config!$E$1),2,FALSE),FALSE)=1, IF(G34&gt;0,CONCATENATE("GSK_TRC_DIS_COPY1[",G34-1,":0]"),""), "")</f>
        <v/>
      </c>
      <c r="M34" s="184"/>
      <c r="N34" s="166"/>
      <c r="O34" s="170"/>
    </row>
    <row r="35" spans="1:15" x14ac:dyDescent="0.35">
      <c r="A35" s="183"/>
      <c r="B35" s="46" t="s">
        <v>374</v>
      </c>
      <c r="C35" s="17" t="s">
        <v>375</v>
      </c>
      <c r="D35" s="46" t="s">
        <v>564</v>
      </c>
      <c r="E35" s="40"/>
      <c r="F35" s="32" t="s">
        <v>415</v>
      </c>
      <c r="G35" s="51">
        <f ca="1">IF(VLOOKUP("PARAM_INT_IFP_TRIPLE_RDD_DIS", INDIRECT(Config!$B$1), HLOOKUP(D$1, INDIRECT(Config!$E$1), 2, FALSE),FALSE)=0, VLOOKUP("OEM_SECRET_KEY_FUSES_LIMIT", INDIRECT(Config!$B$1), HLOOKUP(D$1, INDIRECT(Config!$E$1), 2, FALSE),FALSE)*32, 0)</f>
        <v>0</v>
      </c>
      <c r="H35" s="17" t="s">
        <v>418</v>
      </c>
      <c r="I35" s="17" t="str">
        <f>CONCATENATE("0x",DEC2HEX(HEX2DEC(SUBSTITUTE(I27,"0x",""))+HEX2DEC(SUBSTITUTE(H35,"0x",""))))</f>
        <v>0xF00B0A80</v>
      </c>
      <c r="J35" s="17" t="s">
        <v>399</v>
      </c>
      <c r="K35" s="17" t="s">
        <v>399</v>
      </c>
      <c r="L35" s="84" t="str">
        <f ca="1">IF(VLOOKUP("EXT_FUSE_PULL_SUPP", INDIRECT(Config!$B$1),HLOOKUP(D$1,INDIRECT(Config!$E$1),2,FALSE),FALSE)=1, IF(G35&gt;0,CONCATENATE("GSK_OEM_SECRET_KEYS_DWn_COPY1[",G35-1,":0]"),""), "")</f>
        <v/>
      </c>
      <c r="M35" s="184"/>
      <c r="N35" s="166"/>
      <c r="O35" s="170"/>
    </row>
    <row r="36" spans="1:15" x14ac:dyDescent="0.35">
      <c r="A36" s="183"/>
      <c r="B36" s="109" t="s">
        <v>633</v>
      </c>
      <c r="C36" s="109" t="s">
        <v>685</v>
      </c>
      <c r="D36" s="133"/>
      <c r="E36" s="135" t="str">
        <f>IF($D$1="MTL-SOC-M CSME", "This is a region for MTL-SOC-M GSC FW IFPs", CONCATENATE("This is a region for ",$D$1," FW IFPs"))</f>
        <v>This is a region for MTL-SOC-M GSC FW IFPs</v>
      </c>
      <c r="F36" s="117" t="s">
        <v>415</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2048</v>
      </c>
      <c r="H36" s="110" t="s">
        <v>424</v>
      </c>
      <c r="I36" s="2" t="str">
        <f>CONCATENATE("0x",DEC2HEX(HEX2DEC(SUBSTITUTE(I27,"0x",""))+HEX2DEC(SUBSTITUTE(H36,"0x",""))))</f>
        <v>0xF00B0B00</v>
      </c>
      <c r="J36" s="141" t="s">
        <v>399</v>
      </c>
      <c r="K36" s="141" t="s">
        <v>399</v>
      </c>
      <c r="L36" s="142" t="str">
        <f ca="1">IF(VLOOKUP("EXT_FUSE_PULL_SUPP", INDIRECT(Config!$B$1),HLOOKUP(D$1,INDIRECT(Config!$E$1),2,FALSE),FALSE)=1, IF(G36&gt;0,CONCATENATE("CSME_HW_IFP_FUSES_COPY1[",G36-1,":0]"),""), "")</f>
        <v/>
      </c>
      <c r="M36" s="141" t="s">
        <v>50</v>
      </c>
      <c r="N36" s="166"/>
      <c r="O36" s="170"/>
    </row>
    <row r="37" spans="1:15" x14ac:dyDescent="0.35">
      <c r="A37" s="183"/>
      <c r="B37" s="109" t="s">
        <v>634</v>
      </c>
      <c r="C37" s="109" t="s">
        <v>634</v>
      </c>
      <c r="D37" s="109"/>
      <c r="E37" s="136"/>
      <c r="F37" s="117" t="s">
        <v>416</v>
      </c>
      <c r="G37" s="106">
        <f ca="1">IF($C37="No Param",32,VLOOKUP($C37,INDIRECT(Config!$B$1),HLOOKUP(D$1,INDIRECT(Config!$E$1),2,FALSE),FALSE))</f>
        <v>0</v>
      </c>
      <c r="H37" s="110" t="s">
        <v>426</v>
      </c>
      <c r="I37" s="2" t="str">
        <f>CONCATENATE("0x",DEC2HEX(HEX2DEC(SUBSTITUTE(I27,"0x",""))+HEX2DEC(SUBSTITUTE(H37,"0x",""))))</f>
        <v>0xF00B0C00</v>
      </c>
      <c r="J37" s="141" t="s">
        <v>399</v>
      </c>
      <c r="K37" s="141" t="s">
        <v>399</v>
      </c>
      <c r="L37" s="141"/>
      <c r="M37" s="141" t="s">
        <v>50</v>
      </c>
      <c r="N37" s="166"/>
      <c r="O37" s="170"/>
    </row>
    <row r="38" spans="1:15" ht="15" customHeight="1" x14ac:dyDescent="0.35">
      <c r="A38" s="183"/>
      <c r="B38" s="46" t="s">
        <v>369</v>
      </c>
      <c r="C38" s="17" t="s">
        <v>367</v>
      </c>
      <c r="D38" s="46" t="s">
        <v>18</v>
      </c>
      <c r="E38" s="40"/>
      <c r="F38" s="32" t="s">
        <v>416</v>
      </c>
      <c r="G38" s="51">
        <f ca="1">IF(VLOOKUP("PARAM_INT_IFP_TRIPLE_RDD_DIS", INDIRECT(Config!$B$1), HLOOKUP(D$1, INDIRECT(Config!$E$1), 2, FALSE),FALSE)=0, VLOOKUP("TRC_PRESENT", INDIRECT(Config!$B$1), HLOOKUP(D$1, INDIRECT(Config!$E$1), 2, FALSE),FALSE)*32, 0)</f>
        <v>0</v>
      </c>
      <c r="H38" s="17" t="s">
        <v>422</v>
      </c>
      <c r="I38" s="17" t="str">
        <f>CONCATENATE("0x",DEC2HEX(HEX2DEC(SUBSTITUTE(I27,"0x",""))+HEX2DEC(SUBSTITUTE(H38,"0x",""))))</f>
        <v>0xF00B0C40</v>
      </c>
      <c r="J38" s="17" t="s">
        <v>399</v>
      </c>
      <c r="K38" s="17" t="s">
        <v>399</v>
      </c>
      <c r="L38" s="84" t="str">
        <f ca="1">IF(VLOOKUP("EXT_FUSE_PULL_SUPP", INDIRECT(Config!$B$1),HLOOKUP(D$1,INDIRECT(Config!$E$1),2,FALSE),FALSE)=1, IF(G38&gt;0,CONCATENATE("GSK_OEM_IFP_CONFIG_COPY2[",G38-1,":0]"),""), "")</f>
        <v/>
      </c>
      <c r="M38" s="184" t="s">
        <v>381</v>
      </c>
      <c r="N38" s="166"/>
      <c r="O38" s="170"/>
    </row>
    <row r="39" spans="1:15" x14ac:dyDescent="0.35">
      <c r="A39" s="183"/>
      <c r="B39" s="46" t="s">
        <v>414</v>
      </c>
      <c r="C39" s="17" t="s">
        <v>367</v>
      </c>
      <c r="D39" s="46" t="s">
        <v>18</v>
      </c>
      <c r="E39" s="40"/>
      <c r="F39" s="32" t="s">
        <v>416</v>
      </c>
      <c r="G39" s="51">
        <f ca="1">IF(VLOOKUP("PARAM_INT_IFP_TRIPLE_RDD_DIS", INDIRECT(Config!$B$1), HLOOKUP(D$1, INDIRECT(Config!$E$1), 2, FALSE),FALSE)=0, VLOOKUP("TRC_PRESENT", INDIRECT(Config!$B$1), HLOOKUP(D$1, INDIRECT(Config!$E$1), 2, FALSE),FALSE)*32, 0)</f>
        <v>0</v>
      </c>
      <c r="H39" s="17" t="s">
        <v>421</v>
      </c>
      <c r="I39" s="17" t="str">
        <f>CONCATENATE("0x",DEC2HEX(HEX2DEC(SUBSTITUTE(I27,"0x",""))+HEX2DEC(SUBSTITUTE(H39,"0x",""))))</f>
        <v>0xF00B0C44</v>
      </c>
      <c r="J39" s="17" t="s">
        <v>399</v>
      </c>
      <c r="K39" s="17" t="s">
        <v>399</v>
      </c>
      <c r="L39" s="84" t="str">
        <f ca="1">IF(VLOOKUP("EXT_FUSE_PULL_SUPP", INDIRECT(Config!$B$1),HLOOKUP(D$1,INDIRECT(Config!$E$1),2,FALSE),FALSE)=1, IF(G39&gt;0,CONCATENATE("GSK_TRC_DIS_COPY2[",G39-1,":0]"),""), "")</f>
        <v/>
      </c>
      <c r="M39" s="184"/>
      <c r="N39" s="166"/>
      <c r="O39" s="170"/>
    </row>
    <row r="40" spans="1:15" x14ac:dyDescent="0.35">
      <c r="A40" s="183"/>
      <c r="B40" s="46" t="s">
        <v>377</v>
      </c>
      <c r="C40" s="17" t="s">
        <v>375</v>
      </c>
      <c r="D40" s="46" t="s">
        <v>564</v>
      </c>
      <c r="E40" s="40"/>
      <c r="F40" s="32" t="s">
        <v>416</v>
      </c>
      <c r="G40" s="51">
        <f ca="1">IF(VLOOKUP("PARAM_INT_IFP_TRIPLE_RDD_DIS", INDIRECT(Config!$B$1), HLOOKUP(D$1, INDIRECT(Config!$E$1), 2, FALSE),FALSE)=0, VLOOKUP("OEM_SECRET_KEY_FUSES_LIMIT", INDIRECT(Config!$B$1), HLOOKUP(D$1, INDIRECT(Config!$E$1), 2, FALSE),FALSE)*32, 0)</f>
        <v>0</v>
      </c>
      <c r="H40" s="17" t="s">
        <v>419</v>
      </c>
      <c r="I40" s="17" t="str">
        <f>CONCATENATE("0x",DEC2HEX(HEX2DEC(SUBSTITUTE(I27,"0x",""))+HEX2DEC(SUBSTITUTE(H40,"0x",""))))</f>
        <v>0xF00B0C80</v>
      </c>
      <c r="J40" s="17" t="s">
        <v>399</v>
      </c>
      <c r="K40" s="17" t="s">
        <v>399</v>
      </c>
      <c r="L40" s="84" t="str">
        <f ca="1">IF(VLOOKUP("EXT_FUSE_PULL_SUPP", INDIRECT(Config!$B$1),HLOOKUP(D$1,INDIRECT(Config!$E$1),2,FALSE),FALSE)=1, IF(G40&gt;0,CONCATENATE("GSK_OEM_SECRET_KEYS_DWn_COPY2[",G40-1,":0]"),""), "")</f>
        <v/>
      </c>
      <c r="M40" s="184"/>
      <c r="N40" s="166"/>
      <c r="O40" s="170"/>
    </row>
    <row r="41" spans="1:15" ht="15" thickBot="1" x14ac:dyDescent="0.4">
      <c r="A41" s="186"/>
      <c r="B41" s="112" t="s">
        <v>635</v>
      </c>
      <c r="C41" s="112" t="s">
        <v>685</v>
      </c>
      <c r="D41" s="112"/>
      <c r="E41" s="137"/>
      <c r="F41" s="118" t="s">
        <v>416</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427</v>
      </c>
      <c r="I41" s="143" t="str">
        <f>CONCATENATE("0x",DEC2HEX(HEX2DEC(SUBSTITUTE(I27,"0x",""))+HEX2DEC(SUBSTITUTE(H41,"0x",""))))</f>
        <v>0xF00B0D00</v>
      </c>
      <c r="J41" s="144" t="s">
        <v>399</v>
      </c>
      <c r="K41" s="143" t="s">
        <v>399</v>
      </c>
      <c r="L41" s="143" t="str">
        <f ca="1">IF(VLOOKUP("EXT_FUSE_PULL_SUPP", INDIRECT(Config!$B$1),HLOOKUP(D$1,INDIRECT(Config!$E$1),2,FALSE),FALSE)=1, IF(G41&gt;0,CONCATENATE("CSME_HW_IFP_FUSES_COPY2[",G41-1,":0]"),""), "")</f>
        <v/>
      </c>
      <c r="M41" s="144" t="s">
        <v>50</v>
      </c>
      <c r="N41" s="167"/>
      <c r="O41" s="171"/>
    </row>
    <row r="42" spans="1:15" ht="15" customHeight="1" x14ac:dyDescent="0.35"/>
    <row r="43" spans="1:15" ht="15" customHeight="1" x14ac:dyDescent="0.35"/>
    <row r="44" spans="1:15" ht="15" customHeight="1" x14ac:dyDescent="0.35"/>
    <row r="45" spans="1:15" ht="15" customHeight="1" x14ac:dyDescent="0.35"/>
  </sheetData>
  <mergeCells count="23">
    <mergeCell ref="A27:A41"/>
    <mergeCell ref="N27:N41"/>
    <mergeCell ref="O27:O41"/>
    <mergeCell ref="M28:M30"/>
    <mergeCell ref="M33:M35"/>
    <mergeCell ref="M38:M40"/>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427" priority="84" operator="equal">
      <formula>0</formula>
    </cfRule>
  </conditionalFormatting>
  <conditionalFormatting sqref="J27">
    <cfRule type="cellIs" dxfId="426" priority="100" operator="equal">
      <formula>0</formula>
    </cfRule>
  </conditionalFormatting>
  <conditionalFormatting sqref="G33">
    <cfRule type="cellIs" dxfId="425" priority="99" operator="equal">
      <formula>0</formula>
    </cfRule>
  </conditionalFormatting>
  <conditionalFormatting sqref="C3">
    <cfRule type="cellIs" dxfId="424" priority="86" operator="equal">
      <formula>0</formula>
    </cfRule>
  </conditionalFormatting>
  <conditionalFormatting sqref="C4">
    <cfRule type="cellIs" dxfId="423" priority="85" operator="equal">
      <formula>0</formula>
    </cfRule>
  </conditionalFormatting>
  <conditionalFormatting sqref="G35">
    <cfRule type="cellIs" dxfId="422" priority="98" operator="equal">
      <formula>0</formula>
    </cfRule>
  </conditionalFormatting>
  <conditionalFormatting sqref="B3 J4 J12 D3:J3 G4:G25">
    <cfRule type="cellIs" dxfId="421" priority="97" operator="equal">
      <formula>0</formula>
    </cfRule>
  </conditionalFormatting>
  <conditionalFormatting sqref="B4 H4:I4 D4:F4">
    <cfRule type="cellIs" dxfId="420" priority="96" operator="equal">
      <formula>0</formula>
    </cfRule>
  </conditionalFormatting>
  <conditionalFormatting sqref="B5 I5 D5:F5">
    <cfRule type="cellIs" dxfId="419" priority="95" operator="equal">
      <formula>0</formula>
    </cfRule>
  </conditionalFormatting>
  <conditionalFormatting sqref="B7 I7 F7">
    <cfRule type="cellIs" dxfId="418" priority="94" operator="equal">
      <formula>0</formula>
    </cfRule>
  </conditionalFormatting>
  <conditionalFormatting sqref="B8 H8:I8 D8:F8">
    <cfRule type="cellIs" priority="93" operator="equal">
      <formula>0</formula>
    </cfRule>
  </conditionalFormatting>
  <conditionalFormatting sqref="B9 H9:I9 D9:F9">
    <cfRule type="cellIs" dxfId="417" priority="92" operator="equal">
      <formula>0</formula>
    </cfRule>
  </conditionalFormatting>
  <conditionalFormatting sqref="B10 I10 D10:F10">
    <cfRule type="cellIs" dxfId="416" priority="90" operator="equal">
      <formula>0</formula>
    </cfRule>
    <cfRule type="cellIs" dxfId="415" priority="91" operator="equal">
      <formula>0</formula>
    </cfRule>
  </conditionalFormatting>
  <conditionalFormatting sqref="K12 K3:L4">
    <cfRule type="cellIs" dxfId="414" priority="89" operator="equal">
      <formula>0</formula>
    </cfRule>
  </conditionalFormatting>
  <conditionalFormatting sqref="G28">
    <cfRule type="cellIs" dxfId="413" priority="70" operator="equal">
      <formula>0</formula>
    </cfRule>
  </conditionalFormatting>
  <conditionalFormatting sqref="B6 I6 D6:F6">
    <cfRule type="cellIs" dxfId="412" priority="88" operator="equal">
      <formula>0</formula>
    </cfRule>
  </conditionalFormatting>
  <conditionalFormatting sqref="D7:E7">
    <cfRule type="cellIs" dxfId="411" priority="87" operator="equal">
      <formula>0</formula>
    </cfRule>
  </conditionalFormatting>
  <conditionalFormatting sqref="G31">
    <cfRule type="cellIs" dxfId="410" priority="76" operator="equal">
      <formula>0</formula>
    </cfRule>
  </conditionalFormatting>
  <conditionalFormatting sqref="G32">
    <cfRule type="cellIs" dxfId="409" priority="75" operator="equal">
      <formula>0</formula>
    </cfRule>
  </conditionalFormatting>
  <conditionalFormatting sqref="C7">
    <cfRule type="cellIs" dxfId="408" priority="83" operator="equal">
      <formula>0</formula>
    </cfRule>
  </conditionalFormatting>
  <conditionalFormatting sqref="C8">
    <cfRule type="cellIs" priority="82" operator="equal">
      <formula>0</formula>
    </cfRule>
  </conditionalFormatting>
  <conditionalFormatting sqref="C9">
    <cfRule type="cellIs" dxfId="407" priority="81" operator="equal">
      <formula>0</formula>
    </cfRule>
  </conditionalFormatting>
  <conditionalFormatting sqref="C10">
    <cfRule type="cellIs" dxfId="406" priority="79" operator="equal">
      <formula>0</formula>
    </cfRule>
    <cfRule type="cellIs" dxfId="405" priority="80" operator="equal">
      <formula>0</formula>
    </cfRule>
  </conditionalFormatting>
  <conditionalFormatting sqref="C6">
    <cfRule type="cellIs" dxfId="404" priority="78" operator="equal">
      <formula>0</formula>
    </cfRule>
  </conditionalFormatting>
  <conditionalFormatting sqref="G27">
    <cfRule type="cellIs" dxfId="403" priority="77" operator="equal">
      <formula>0</formula>
    </cfRule>
  </conditionalFormatting>
  <conditionalFormatting sqref="G37">
    <cfRule type="cellIs" dxfId="402" priority="73" operator="equal">
      <formula>0</formula>
    </cfRule>
  </conditionalFormatting>
  <conditionalFormatting sqref="G34">
    <cfRule type="cellIs" dxfId="401" priority="71" operator="equal">
      <formula>0</formula>
    </cfRule>
  </conditionalFormatting>
  <conditionalFormatting sqref="G30">
    <cfRule type="cellIs" dxfId="400" priority="69" operator="equal">
      <formula>0</formula>
    </cfRule>
  </conditionalFormatting>
  <conditionalFormatting sqref="G29">
    <cfRule type="cellIs" dxfId="399" priority="68" operator="equal">
      <formula>0</formula>
    </cfRule>
  </conditionalFormatting>
  <conditionalFormatting sqref="G38">
    <cfRule type="cellIs" dxfId="398" priority="67" operator="equal">
      <formula>0</formula>
    </cfRule>
  </conditionalFormatting>
  <conditionalFormatting sqref="G40">
    <cfRule type="cellIs" dxfId="397" priority="66" operator="equal">
      <formula>0</formula>
    </cfRule>
  </conditionalFormatting>
  <conditionalFormatting sqref="G39">
    <cfRule type="cellIs" dxfId="396" priority="65" operator="equal">
      <formula>0</formula>
    </cfRule>
  </conditionalFormatting>
  <conditionalFormatting sqref="J5">
    <cfRule type="cellIs" dxfId="395" priority="64" operator="equal">
      <formula>0</formula>
    </cfRule>
  </conditionalFormatting>
  <conditionalFormatting sqref="K5">
    <cfRule type="cellIs" dxfId="394" priority="63" operator="equal">
      <formula>0</formula>
    </cfRule>
  </conditionalFormatting>
  <conditionalFormatting sqref="J6">
    <cfRule type="cellIs" dxfId="393" priority="62" operator="equal">
      <formula>0</formula>
    </cfRule>
  </conditionalFormatting>
  <conditionalFormatting sqref="K6">
    <cfRule type="cellIs" dxfId="392" priority="61" operator="equal">
      <formula>0</formula>
    </cfRule>
  </conditionalFormatting>
  <conditionalFormatting sqref="J9">
    <cfRule type="cellIs" dxfId="391" priority="60" operator="equal">
      <formula>0</formula>
    </cfRule>
  </conditionalFormatting>
  <conditionalFormatting sqref="K9">
    <cfRule type="cellIs" dxfId="390" priority="59" operator="equal">
      <formula>0</formula>
    </cfRule>
  </conditionalFormatting>
  <conditionalFormatting sqref="J10">
    <cfRule type="cellIs" dxfId="389" priority="58" operator="equal">
      <formula>0</formula>
    </cfRule>
  </conditionalFormatting>
  <conditionalFormatting sqref="K10">
    <cfRule type="cellIs" dxfId="388" priority="57" operator="equal">
      <formula>0</formula>
    </cfRule>
  </conditionalFormatting>
  <conditionalFormatting sqref="J11">
    <cfRule type="cellIs" dxfId="387" priority="56" operator="equal">
      <formula>0</formula>
    </cfRule>
  </conditionalFormatting>
  <conditionalFormatting sqref="K11">
    <cfRule type="cellIs" dxfId="386" priority="55" operator="equal">
      <formula>0</formula>
    </cfRule>
  </conditionalFormatting>
  <conditionalFormatting sqref="J7">
    <cfRule type="cellIs" dxfId="385" priority="54" operator="equal">
      <formula>0</formula>
    </cfRule>
  </conditionalFormatting>
  <conditionalFormatting sqref="K7">
    <cfRule type="cellIs" dxfId="384" priority="53" operator="equal">
      <formula>0</formula>
    </cfRule>
  </conditionalFormatting>
  <conditionalFormatting sqref="J8">
    <cfRule type="cellIs" dxfId="383" priority="52" operator="equal">
      <formula>0</formula>
    </cfRule>
  </conditionalFormatting>
  <conditionalFormatting sqref="K8">
    <cfRule type="cellIs" dxfId="382" priority="51" operator="equal">
      <formula>0</formula>
    </cfRule>
  </conditionalFormatting>
  <conditionalFormatting sqref="H5">
    <cfRule type="cellIs" dxfId="381" priority="50" operator="equal">
      <formula>0</formula>
    </cfRule>
  </conditionalFormatting>
  <conditionalFormatting sqref="H6">
    <cfRule type="cellIs" dxfId="380" priority="49" operator="equal">
      <formula>0</formula>
    </cfRule>
  </conditionalFormatting>
  <conditionalFormatting sqref="H7">
    <cfRule type="cellIs" dxfId="379" priority="48" operator="equal">
      <formula>0</formula>
    </cfRule>
  </conditionalFormatting>
  <conditionalFormatting sqref="H12">
    <cfRule type="cellIs" dxfId="378" priority="45" operator="equal">
      <formula>0</formula>
    </cfRule>
  </conditionalFormatting>
  <conditionalFormatting sqref="H10">
    <cfRule type="cellIs" dxfId="377" priority="47" operator="equal">
      <formula>0</formula>
    </cfRule>
  </conditionalFormatting>
  <conditionalFormatting sqref="H11">
    <cfRule type="cellIs" dxfId="376" priority="46" operator="equal">
      <formula>0</formula>
    </cfRule>
  </conditionalFormatting>
  <conditionalFormatting sqref="L5">
    <cfRule type="cellIs" dxfId="375" priority="44" operator="equal">
      <formula>0</formula>
    </cfRule>
  </conditionalFormatting>
  <conditionalFormatting sqref="L6">
    <cfRule type="cellIs" dxfId="374" priority="43" operator="equal">
      <formula>0</formula>
    </cfRule>
  </conditionalFormatting>
  <conditionalFormatting sqref="L7">
    <cfRule type="cellIs" dxfId="373" priority="42" operator="equal">
      <formula>0</formula>
    </cfRule>
  </conditionalFormatting>
  <conditionalFormatting sqref="L8:L9">
    <cfRule type="cellIs" dxfId="372" priority="41" operator="equal">
      <formula>0</formula>
    </cfRule>
  </conditionalFormatting>
  <conditionalFormatting sqref="L10">
    <cfRule type="cellIs" dxfId="371" priority="40" operator="equal">
      <formula>0</formula>
    </cfRule>
  </conditionalFormatting>
  <conditionalFormatting sqref="L11">
    <cfRule type="cellIs" dxfId="370" priority="39" operator="equal">
      <formula>0</formula>
    </cfRule>
  </conditionalFormatting>
  <conditionalFormatting sqref="L12">
    <cfRule type="cellIs" dxfId="369" priority="38" operator="equal">
      <formula>0</formula>
    </cfRule>
  </conditionalFormatting>
  <conditionalFormatting sqref="L31">
    <cfRule type="cellIs" dxfId="368" priority="37" operator="equal">
      <formula>0</formula>
    </cfRule>
  </conditionalFormatting>
  <conditionalFormatting sqref="L30">
    <cfRule type="cellIs" dxfId="367" priority="36" operator="equal">
      <formula>0</formula>
    </cfRule>
  </conditionalFormatting>
  <conditionalFormatting sqref="L29">
    <cfRule type="cellIs" dxfId="366" priority="35" operator="equal">
      <formula>0</formula>
    </cfRule>
  </conditionalFormatting>
  <conditionalFormatting sqref="L28">
    <cfRule type="cellIs" dxfId="365" priority="34" operator="equal">
      <formula>0</formula>
    </cfRule>
  </conditionalFormatting>
  <conditionalFormatting sqref="L36">
    <cfRule type="cellIs" dxfId="364" priority="33" operator="equal">
      <formula>0</formula>
    </cfRule>
  </conditionalFormatting>
  <conditionalFormatting sqref="L35">
    <cfRule type="cellIs" dxfId="363" priority="32" operator="equal">
      <formula>0</formula>
    </cfRule>
  </conditionalFormatting>
  <conditionalFormatting sqref="L34">
    <cfRule type="cellIs" dxfId="362" priority="31" operator="equal">
      <formula>0</formula>
    </cfRule>
  </conditionalFormatting>
  <conditionalFormatting sqref="L33">
    <cfRule type="cellIs" dxfId="361" priority="30" operator="equal">
      <formula>0</formula>
    </cfRule>
  </conditionalFormatting>
  <conditionalFormatting sqref="L41">
    <cfRule type="cellIs" dxfId="360" priority="29" operator="equal">
      <formula>0</formula>
    </cfRule>
  </conditionalFormatting>
  <conditionalFormatting sqref="L40">
    <cfRule type="cellIs" dxfId="359" priority="28" operator="equal">
      <formula>0</formula>
    </cfRule>
  </conditionalFormatting>
  <conditionalFormatting sqref="L39">
    <cfRule type="cellIs" dxfId="358" priority="27" operator="equal">
      <formula>0</formula>
    </cfRule>
  </conditionalFormatting>
  <conditionalFormatting sqref="L38">
    <cfRule type="cellIs" dxfId="357" priority="26" operator="equal">
      <formula>0</formula>
    </cfRule>
  </conditionalFormatting>
  <conditionalFormatting sqref="L13">
    <cfRule type="cellIs" dxfId="356" priority="25" operator="equal">
      <formula>0</formula>
    </cfRule>
  </conditionalFormatting>
  <conditionalFormatting sqref="L14">
    <cfRule type="cellIs" dxfId="355" priority="24" operator="equal">
      <formula>0</formula>
    </cfRule>
  </conditionalFormatting>
  <conditionalFormatting sqref="L15">
    <cfRule type="cellIs" dxfId="354" priority="23" operator="equal">
      <formula>0</formula>
    </cfRule>
  </conditionalFormatting>
  <conditionalFormatting sqref="L16">
    <cfRule type="cellIs" dxfId="353" priority="22" operator="equal">
      <formula>0</formula>
    </cfRule>
  </conditionalFormatting>
  <conditionalFormatting sqref="L17">
    <cfRule type="cellIs" dxfId="352" priority="21" operator="equal">
      <formula>0</formula>
    </cfRule>
  </conditionalFormatting>
  <conditionalFormatting sqref="L18">
    <cfRule type="cellIs" dxfId="351" priority="20" operator="equal">
      <formula>0</formula>
    </cfRule>
  </conditionalFormatting>
  <conditionalFormatting sqref="L19">
    <cfRule type="cellIs" dxfId="350" priority="19" operator="equal">
      <formula>0</formula>
    </cfRule>
  </conditionalFormatting>
  <conditionalFormatting sqref="L20">
    <cfRule type="cellIs" dxfId="349" priority="18" operator="equal">
      <formula>0</formula>
    </cfRule>
  </conditionalFormatting>
  <conditionalFormatting sqref="L21">
    <cfRule type="cellIs" dxfId="348" priority="17" operator="equal">
      <formula>0</formula>
    </cfRule>
  </conditionalFormatting>
  <conditionalFormatting sqref="L22">
    <cfRule type="cellIs" dxfId="347" priority="16" operator="equal">
      <formula>0</formula>
    </cfRule>
  </conditionalFormatting>
  <conditionalFormatting sqref="L23">
    <cfRule type="cellIs" dxfId="346" priority="15" operator="equal">
      <formula>0</formula>
    </cfRule>
  </conditionalFormatting>
  <conditionalFormatting sqref="J24">
    <cfRule type="cellIs" dxfId="345" priority="14" operator="equal">
      <formula>0</formula>
    </cfRule>
  </conditionalFormatting>
  <conditionalFormatting sqref="K24">
    <cfRule type="cellIs" dxfId="344" priority="13" operator="equal">
      <formula>0</formula>
    </cfRule>
  </conditionalFormatting>
  <conditionalFormatting sqref="J25">
    <cfRule type="cellIs" dxfId="343" priority="6" operator="equal">
      <formula>0</formula>
    </cfRule>
  </conditionalFormatting>
  <conditionalFormatting sqref="K25">
    <cfRule type="cellIs" dxfId="342" priority="5" operator="equal">
      <formula>0</formula>
    </cfRule>
  </conditionalFormatting>
  <conditionalFormatting sqref="G36">
    <cfRule type="cellIs" dxfId="341" priority="3" operator="equal">
      <formula>0</formula>
    </cfRule>
  </conditionalFormatting>
  <conditionalFormatting sqref="G41">
    <cfRule type="cellIs" dxfId="34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16" workbookViewId="0">
      <selection activeCell="F83" sqref="F83"/>
    </sheetView>
  </sheetViews>
  <sheetFormatPr defaultRowHeight="14.5" x14ac:dyDescent="0.35"/>
  <cols>
    <col min="1" max="1" width="28.453125" bestFit="1" customWidth="1"/>
    <col min="2" max="2" width="8.08984375" bestFit="1" customWidth="1"/>
    <col min="3" max="3" width="9.36328125" bestFit="1" customWidth="1"/>
    <col min="4" max="4" width="32.6328125" bestFit="1" customWidth="1"/>
    <col min="5" max="5" width="12.6328125" bestFit="1" customWidth="1"/>
    <col min="6" max="6" width="21.453125" customWidth="1"/>
    <col min="7" max="7" width="56.26953125" style="157" customWidth="1"/>
  </cols>
  <sheetData>
    <row r="1" spans="1:16" x14ac:dyDescent="0.35">
      <c r="A1" s="145" t="s">
        <v>674</v>
      </c>
      <c r="B1" s="145" t="s">
        <v>675</v>
      </c>
      <c r="C1" s="145" t="s">
        <v>676</v>
      </c>
      <c r="D1" s="145" t="s">
        <v>677</v>
      </c>
      <c r="E1" s="145" t="s">
        <v>678</v>
      </c>
      <c r="F1" s="146" t="s">
        <v>624</v>
      </c>
      <c r="G1" s="156" t="s">
        <v>813</v>
      </c>
      <c r="H1" s="145"/>
      <c r="N1" t="s">
        <v>622</v>
      </c>
      <c r="O1" s="16" t="s">
        <v>623</v>
      </c>
      <c r="P1" s="16" t="s">
        <v>624</v>
      </c>
    </row>
    <row r="2" spans="1:16" ht="29" x14ac:dyDescent="0.35">
      <c r="A2" t="s">
        <v>65</v>
      </c>
      <c r="B2">
        <v>0</v>
      </c>
      <c r="C2">
        <v>1</v>
      </c>
      <c r="D2" t="s">
        <v>66</v>
      </c>
      <c r="E2" t="s">
        <v>18</v>
      </c>
      <c r="F2">
        <v>1</v>
      </c>
      <c r="G2" s="155" t="s">
        <v>695</v>
      </c>
    </row>
    <row r="3" spans="1:16" ht="29" x14ac:dyDescent="0.35">
      <c r="A3" t="s">
        <v>65</v>
      </c>
      <c r="B3">
        <v>1</v>
      </c>
      <c r="C3">
        <v>1</v>
      </c>
      <c r="D3" t="s">
        <v>69</v>
      </c>
      <c r="E3" t="s">
        <v>18</v>
      </c>
      <c r="F3">
        <v>1</v>
      </c>
      <c r="G3" s="155" t="s">
        <v>696</v>
      </c>
    </row>
    <row r="4" spans="1:16" ht="29" x14ac:dyDescent="0.35">
      <c r="A4" t="s">
        <v>65</v>
      </c>
      <c r="B4">
        <v>2</v>
      </c>
      <c r="C4">
        <v>1</v>
      </c>
      <c r="D4" t="s">
        <v>73</v>
      </c>
      <c r="E4" t="s">
        <v>18</v>
      </c>
      <c r="F4">
        <v>1</v>
      </c>
      <c r="G4" s="155" t="s">
        <v>697</v>
      </c>
    </row>
    <row r="5" spans="1:16" ht="29" x14ac:dyDescent="0.35">
      <c r="A5" t="s">
        <v>65</v>
      </c>
      <c r="B5">
        <v>3</v>
      </c>
      <c r="C5">
        <v>1</v>
      </c>
      <c r="D5" t="s">
        <v>75</v>
      </c>
      <c r="E5" t="s">
        <v>18</v>
      </c>
      <c r="F5">
        <v>1</v>
      </c>
      <c r="G5" s="155" t="s">
        <v>698</v>
      </c>
    </row>
    <row r="6" spans="1:16" x14ac:dyDescent="0.35">
      <c r="A6" t="s">
        <v>65</v>
      </c>
      <c r="B6">
        <v>4</v>
      </c>
      <c r="C6">
        <v>1</v>
      </c>
      <c r="D6" t="s">
        <v>79</v>
      </c>
      <c r="E6" t="s">
        <v>18</v>
      </c>
      <c r="F6">
        <v>0</v>
      </c>
      <c r="G6" t="s">
        <v>814</v>
      </c>
    </row>
    <row r="7" spans="1:16" x14ac:dyDescent="0.35">
      <c r="A7" t="s">
        <v>65</v>
      </c>
      <c r="B7">
        <v>5</v>
      </c>
      <c r="C7">
        <v>1</v>
      </c>
      <c r="D7" t="s">
        <v>82</v>
      </c>
      <c r="E7" t="s">
        <v>18</v>
      </c>
      <c r="F7">
        <v>0</v>
      </c>
      <c r="G7" t="s">
        <v>815</v>
      </c>
    </row>
    <row r="8" spans="1:16" ht="29" x14ac:dyDescent="0.35">
      <c r="A8" t="s">
        <v>65</v>
      </c>
      <c r="B8">
        <v>6</v>
      </c>
      <c r="C8">
        <v>1</v>
      </c>
      <c r="D8" t="s">
        <v>83</v>
      </c>
      <c r="E8" t="s">
        <v>18</v>
      </c>
      <c r="F8">
        <v>1</v>
      </c>
      <c r="G8" s="155" t="s">
        <v>701</v>
      </c>
    </row>
    <row r="9" spans="1:16" ht="29" x14ac:dyDescent="0.35">
      <c r="A9" t="s">
        <v>65</v>
      </c>
      <c r="B9">
        <v>7</v>
      </c>
      <c r="C9">
        <v>1</v>
      </c>
      <c r="D9" t="s">
        <v>85</v>
      </c>
      <c r="E9" t="s">
        <v>18</v>
      </c>
      <c r="F9">
        <v>1</v>
      </c>
      <c r="G9" s="155" t="s">
        <v>702</v>
      </c>
    </row>
    <row r="10" spans="1:16" ht="29" x14ac:dyDescent="0.35">
      <c r="A10" t="s">
        <v>65</v>
      </c>
      <c r="B10">
        <v>8</v>
      </c>
      <c r="C10">
        <v>1</v>
      </c>
      <c r="D10" t="s">
        <v>87</v>
      </c>
      <c r="E10" t="s">
        <v>18</v>
      </c>
      <c r="F10">
        <v>1</v>
      </c>
      <c r="G10" s="155" t="s">
        <v>703</v>
      </c>
    </row>
    <row r="11" spans="1:16" x14ac:dyDescent="0.35">
      <c r="A11" t="s">
        <v>65</v>
      </c>
      <c r="B11">
        <v>9</v>
      </c>
      <c r="C11">
        <v>1</v>
      </c>
      <c r="D11" t="s">
        <v>90</v>
      </c>
      <c r="E11" t="s">
        <v>18</v>
      </c>
      <c r="F11" t="s">
        <v>50</v>
      </c>
      <c r="G11" t="s">
        <v>809</v>
      </c>
    </row>
    <row r="12" spans="1:16" x14ac:dyDescent="0.35">
      <c r="A12" t="s">
        <v>65</v>
      </c>
      <c r="B12">
        <v>10</v>
      </c>
      <c r="C12">
        <v>1</v>
      </c>
      <c r="D12" t="s">
        <v>92</v>
      </c>
      <c r="E12" t="s">
        <v>18</v>
      </c>
      <c r="F12">
        <v>0</v>
      </c>
      <c r="G12" t="s">
        <v>816</v>
      </c>
    </row>
    <row r="13" spans="1:16" x14ac:dyDescent="0.35">
      <c r="A13" t="s">
        <v>65</v>
      </c>
      <c r="B13">
        <v>11</v>
      </c>
      <c r="C13">
        <v>1</v>
      </c>
      <c r="D13" t="s">
        <v>95</v>
      </c>
      <c r="E13" t="s">
        <v>18</v>
      </c>
      <c r="F13">
        <v>0</v>
      </c>
      <c r="G13" t="s">
        <v>817</v>
      </c>
    </row>
    <row r="14" spans="1:16" x14ac:dyDescent="0.35">
      <c r="A14" t="s">
        <v>65</v>
      </c>
      <c r="B14">
        <v>12</v>
      </c>
      <c r="C14">
        <v>1</v>
      </c>
      <c r="D14" t="s">
        <v>97</v>
      </c>
      <c r="E14" t="s">
        <v>18</v>
      </c>
      <c r="F14">
        <v>0</v>
      </c>
      <c r="G14" t="s">
        <v>818</v>
      </c>
    </row>
    <row r="15" spans="1:16" x14ac:dyDescent="0.35">
      <c r="A15" t="s">
        <v>65</v>
      </c>
      <c r="B15">
        <v>13</v>
      </c>
      <c r="C15">
        <v>1</v>
      </c>
      <c r="D15" t="s">
        <v>99</v>
      </c>
      <c r="E15" t="s">
        <v>18</v>
      </c>
      <c r="F15">
        <v>0</v>
      </c>
      <c r="G15" t="s">
        <v>819</v>
      </c>
    </row>
    <row r="16" spans="1:16" x14ac:dyDescent="0.35">
      <c r="A16" t="s">
        <v>65</v>
      </c>
      <c r="B16">
        <v>14</v>
      </c>
      <c r="C16">
        <v>1</v>
      </c>
      <c r="D16" t="s">
        <v>100</v>
      </c>
      <c r="E16" t="s">
        <v>18</v>
      </c>
      <c r="F16">
        <v>1</v>
      </c>
      <c r="G16" t="s">
        <v>708</v>
      </c>
    </row>
    <row r="17" spans="1:7" x14ac:dyDescent="0.35">
      <c r="A17" t="s">
        <v>65</v>
      </c>
      <c r="B17">
        <v>15</v>
      </c>
      <c r="C17">
        <v>1</v>
      </c>
      <c r="D17" t="s">
        <v>104</v>
      </c>
      <c r="E17" t="s">
        <v>18</v>
      </c>
      <c r="F17">
        <v>0</v>
      </c>
      <c r="G17" t="s">
        <v>820</v>
      </c>
    </row>
    <row r="18" spans="1:7" ht="29" x14ac:dyDescent="0.35">
      <c r="A18" t="s">
        <v>65</v>
      </c>
      <c r="B18">
        <v>16</v>
      </c>
      <c r="C18">
        <v>1</v>
      </c>
      <c r="D18" t="s">
        <v>105</v>
      </c>
      <c r="E18" t="s">
        <v>684</v>
      </c>
      <c r="F18">
        <v>1</v>
      </c>
      <c r="G18" s="155" t="s">
        <v>710</v>
      </c>
    </row>
    <row r="19" spans="1:7" ht="29" x14ac:dyDescent="0.35">
      <c r="A19" t="s">
        <v>65</v>
      </c>
      <c r="B19">
        <v>17</v>
      </c>
      <c r="C19">
        <v>1</v>
      </c>
      <c r="D19" t="s">
        <v>107</v>
      </c>
      <c r="E19" t="s">
        <v>684</v>
      </c>
      <c r="F19">
        <v>1</v>
      </c>
      <c r="G19" s="155" t="s">
        <v>711</v>
      </c>
    </row>
    <row r="20" spans="1:7" x14ac:dyDescent="0.35">
      <c r="A20" t="s">
        <v>65</v>
      </c>
      <c r="B20">
        <v>18</v>
      </c>
      <c r="C20">
        <v>1</v>
      </c>
      <c r="D20" t="s">
        <v>113</v>
      </c>
      <c r="E20" t="s">
        <v>684</v>
      </c>
      <c r="F20">
        <v>0</v>
      </c>
      <c r="G20" t="s">
        <v>794</v>
      </c>
    </row>
    <row r="21" spans="1:7" x14ac:dyDescent="0.35">
      <c r="A21" t="s">
        <v>65</v>
      </c>
      <c r="B21">
        <v>19</v>
      </c>
      <c r="C21">
        <v>1</v>
      </c>
      <c r="D21" t="s">
        <v>115</v>
      </c>
      <c r="E21" t="s">
        <v>684</v>
      </c>
      <c r="F21">
        <v>0</v>
      </c>
      <c r="G21" t="s">
        <v>795</v>
      </c>
    </row>
    <row r="22" spans="1:7" x14ac:dyDescent="0.35">
      <c r="A22" t="s">
        <v>65</v>
      </c>
      <c r="B22">
        <v>20</v>
      </c>
      <c r="C22">
        <v>1</v>
      </c>
      <c r="D22" t="s">
        <v>117</v>
      </c>
      <c r="E22" t="s">
        <v>684</v>
      </c>
      <c r="F22">
        <v>0</v>
      </c>
      <c r="G22" t="s">
        <v>796</v>
      </c>
    </row>
    <row r="23" spans="1:7" x14ac:dyDescent="0.35">
      <c r="A23" t="s">
        <v>65</v>
      </c>
      <c r="B23">
        <v>21</v>
      </c>
      <c r="C23">
        <v>1</v>
      </c>
      <c r="D23" t="s">
        <v>119</v>
      </c>
      <c r="E23" t="s">
        <v>684</v>
      </c>
      <c r="F23">
        <v>0</v>
      </c>
      <c r="G23" t="s">
        <v>797</v>
      </c>
    </row>
    <row r="24" spans="1:7" x14ac:dyDescent="0.35">
      <c r="A24" t="s">
        <v>65</v>
      </c>
      <c r="B24">
        <v>22</v>
      </c>
      <c r="C24">
        <v>1</v>
      </c>
      <c r="D24" t="s">
        <v>121</v>
      </c>
      <c r="E24" t="s">
        <v>684</v>
      </c>
      <c r="F24">
        <v>0</v>
      </c>
      <c r="G24" t="s">
        <v>798</v>
      </c>
    </row>
    <row r="25" spans="1:7" x14ac:dyDescent="0.35">
      <c r="A25" t="s">
        <v>65</v>
      </c>
      <c r="B25">
        <v>23</v>
      </c>
      <c r="C25">
        <v>1</v>
      </c>
      <c r="D25" t="s">
        <v>124</v>
      </c>
      <c r="E25" t="s">
        <v>684</v>
      </c>
      <c r="F25">
        <v>0</v>
      </c>
      <c r="G25" t="s">
        <v>799</v>
      </c>
    </row>
    <row r="26" spans="1:7" x14ac:dyDescent="0.35">
      <c r="A26" t="s">
        <v>65</v>
      </c>
      <c r="B26">
        <v>24</v>
      </c>
      <c r="C26">
        <v>1</v>
      </c>
      <c r="D26" t="s">
        <v>127</v>
      </c>
      <c r="E26" t="s">
        <v>18</v>
      </c>
      <c r="F26">
        <v>0</v>
      </c>
      <c r="G26" t="s">
        <v>800</v>
      </c>
    </row>
    <row r="27" spans="1:7" x14ac:dyDescent="0.35">
      <c r="A27" t="s">
        <v>65</v>
      </c>
      <c r="B27">
        <v>25</v>
      </c>
      <c r="C27">
        <v>1</v>
      </c>
      <c r="D27" t="s">
        <v>130</v>
      </c>
      <c r="E27" t="s">
        <v>18</v>
      </c>
      <c r="F27">
        <v>0</v>
      </c>
      <c r="G27" t="s">
        <v>821</v>
      </c>
    </row>
    <row r="28" spans="1:7" x14ac:dyDescent="0.35">
      <c r="A28" t="s">
        <v>65</v>
      </c>
      <c r="B28">
        <v>26</v>
      </c>
      <c r="C28">
        <v>1</v>
      </c>
      <c r="D28" t="s">
        <v>135</v>
      </c>
      <c r="E28" t="s">
        <v>18</v>
      </c>
      <c r="F28">
        <v>0</v>
      </c>
      <c r="G28" t="s">
        <v>801</v>
      </c>
    </row>
    <row r="29" spans="1:7" x14ac:dyDescent="0.35">
      <c r="A29" t="s">
        <v>65</v>
      </c>
      <c r="B29">
        <v>27</v>
      </c>
      <c r="C29">
        <v>1</v>
      </c>
      <c r="D29" t="s">
        <v>386</v>
      </c>
      <c r="E29" t="s">
        <v>18</v>
      </c>
      <c r="F29" t="s">
        <v>50</v>
      </c>
      <c r="G29" t="s">
        <v>802</v>
      </c>
    </row>
    <row r="30" spans="1:7" x14ac:dyDescent="0.35">
      <c r="A30" t="s">
        <v>65</v>
      </c>
      <c r="B30">
        <v>28</v>
      </c>
      <c r="C30">
        <v>1</v>
      </c>
      <c r="D30" t="s">
        <v>387</v>
      </c>
      <c r="E30" t="s">
        <v>18</v>
      </c>
      <c r="F30">
        <v>0</v>
      </c>
      <c r="G30" t="s">
        <v>803</v>
      </c>
    </row>
    <row r="31" spans="1:7" x14ac:dyDescent="0.35">
      <c r="A31" t="s">
        <v>65</v>
      </c>
      <c r="B31">
        <v>29</v>
      </c>
      <c r="C31">
        <v>1</v>
      </c>
      <c r="D31" t="s">
        <v>138</v>
      </c>
      <c r="E31" t="s">
        <v>18</v>
      </c>
      <c r="F31">
        <v>0</v>
      </c>
      <c r="G31" t="s">
        <v>804</v>
      </c>
    </row>
    <row r="32" spans="1:7" x14ac:dyDescent="0.35">
      <c r="A32" t="s">
        <v>65</v>
      </c>
      <c r="B32">
        <v>30</v>
      </c>
      <c r="C32">
        <v>1</v>
      </c>
      <c r="D32" t="s">
        <v>140</v>
      </c>
      <c r="E32" t="s">
        <v>18</v>
      </c>
      <c r="F32">
        <v>0</v>
      </c>
      <c r="G32" t="s">
        <v>805</v>
      </c>
    </row>
    <row r="33" spans="1:7" ht="29" x14ac:dyDescent="0.35">
      <c r="A33" t="s">
        <v>65</v>
      </c>
      <c r="B33">
        <v>31</v>
      </c>
      <c r="C33">
        <v>1</v>
      </c>
      <c r="D33" t="s">
        <v>141</v>
      </c>
      <c r="E33" t="s">
        <v>18</v>
      </c>
      <c r="F33">
        <v>1</v>
      </c>
      <c r="G33" s="155" t="s">
        <v>715</v>
      </c>
    </row>
    <row r="34" spans="1:7" x14ac:dyDescent="0.35">
      <c r="A34" t="s">
        <v>144</v>
      </c>
      <c r="B34">
        <v>0</v>
      </c>
      <c r="C34">
        <v>1</v>
      </c>
      <c r="D34" t="s">
        <v>146</v>
      </c>
      <c r="F34">
        <v>0</v>
      </c>
      <c r="G34" t="s">
        <v>822</v>
      </c>
    </row>
    <row r="35" spans="1:7" x14ac:dyDescent="0.35">
      <c r="A35" t="s">
        <v>144</v>
      </c>
      <c r="B35">
        <v>1</v>
      </c>
      <c r="C35">
        <v>1</v>
      </c>
      <c r="D35" t="s">
        <v>149</v>
      </c>
      <c r="F35">
        <v>0</v>
      </c>
      <c r="G35" t="s">
        <v>823</v>
      </c>
    </row>
    <row r="36" spans="1:7" x14ac:dyDescent="0.35">
      <c r="A36" t="s">
        <v>144</v>
      </c>
      <c r="B36">
        <v>2</v>
      </c>
      <c r="C36">
        <v>1</v>
      </c>
      <c r="D36" t="s">
        <v>152</v>
      </c>
      <c r="F36">
        <v>0</v>
      </c>
      <c r="G36" t="s">
        <v>824</v>
      </c>
    </row>
    <row r="37" spans="1:7" ht="29" x14ac:dyDescent="0.35">
      <c r="A37" t="s">
        <v>144</v>
      </c>
      <c r="B37">
        <v>3</v>
      </c>
      <c r="C37">
        <v>1</v>
      </c>
      <c r="D37" t="s">
        <v>153</v>
      </c>
      <c r="F37">
        <v>1</v>
      </c>
      <c r="G37" s="155" t="s">
        <v>719</v>
      </c>
    </row>
    <row r="38" spans="1:7" x14ac:dyDescent="0.35">
      <c r="A38" t="s">
        <v>144</v>
      </c>
      <c r="B38">
        <v>4</v>
      </c>
      <c r="C38">
        <v>1</v>
      </c>
      <c r="D38" t="s">
        <v>157</v>
      </c>
      <c r="F38">
        <v>0</v>
      </c>
      <c r="G38" t="s">
        <v>825</v>
      </c>
    </row>
    <row r="39" spans="1:7" x14ac:dyDescent="0.35">
      <c r="A39" t="s">
        <v>144</v>
      </c>
      <c r="B39">
        <v>5</v>
      </c>
      <c r="C39">
        <v>1</v>
      </c>
      <c r="D39" t="s">
        <v>159</v>
      </c>
      <c r="F39">
        <v>0</v>
      </c>
      <c r="G39" t="s">
        <v>806</v>
      </c>
    </row>
    <row r="40" spans="1:7" ht="29" x14ac:dyDescent="0.35">
      <c r="A40" t="s">
        <v>144</v>
      </c>
      <c r="B40">
        <v>6</v>
      </c>
      <c r="C40">
        <v>1</v>
      </c>
      <c r="D40" t="s">
        <v>160</v>
      </c>
      <c r="F40">
        <v>1</v>
      </c>
      <c r="G40" s="155" t="s">
        <v>721</v>
      </c>
    </row>
    <row r="41" spans="1:7" ht="29" x14ac:dyDescent="0.35">
      <c r="A41" t="s">
        <v>144</v>
      </c>
      <c r="B41">
        <v>7</v>
      </c>
      <c r="C41">
        <v>1</v>
      </c>
      <c r="D41" t="s">
        <v>162</v>
      </c>
      <c r="F41">
        <v>1</v>
      </c>
      <c r="G41" s="155" t="s">
        <v>722</v>
      </c>
    </row>
    <row r="42" spans="1:7" x14ac:dyDescent="0.35">
      <c r="A42" t="s">
        <v>144</v>
      </c>
      <c r="B42">
        <v>8</v>
      </c>
      <c r="C42">
        <v>1</v>
      </c>
      <c r="D42" t="s">
        <v>165</v>
      </c>
      <c r="F42">
        <v>0</v>
      </c>
      <c r="G42" t="s">
        <v>723</v>
      </c>
    </row>
    <row r="43" spans="1:7" ht="58" x14ac:dyDescent="0.35">
      <c r="A43" t="s">
        <v>144</v>
      </c>
      <c r="B43">
        <v>9</v>
      </c>
      <c r="C43">
        <v>3</v>
      </c>
      <c r="D43" t="s">
        <v>166</v>
      </c>
      <c r="F43">
        <v>1</v>
      </c>
      <c r="G43" s="155" t="s">
        <v>724</v>
      </c>
    </row>
    <row r="44" spans="1:7" x14ac:dyDescent="0.35">
      <c r="A44" t="s">
        <v>144</v>
      </c>
      <c r="B44">
        <v>12</v>
      </c>
      <c r="C44">
        <v>1</v>
      </c>
      <c r="D44" t="s">
        <v>169</v>
      </c>
      <c r="F44">
        <v>0</v>
      </c>
      <c r="G44" t="s">
        <v>725</v>
      </c>
    </row>
    <row r="45" spans="1:7" ht="29" x14ac:dyDescent="0.35">
      <c r="A45" t="s">
        <v>144</v>
      </c>
      <c r="B45">
        <v>13</v>
      </c>
      <c r="C45">
        <v>1</v>
      </c>
      <c r="D45" t="s">
        <v>170</v>
      </c>
      <c r="F45">
        <v>1</v>
      </c>
      <c r="G45" s="155" t="s">
        <v>726</v>
      </c>
    </row>
    <row r="46" spans="1:7" x14ac:dyDescent="0.35">
      <c r="A46" t="s">
        <v>144</v>
      </c>
      <c r="B46">
        <v>14</v>
      </c>
      <c r="C46">
        <v>1</v>
      </c>
      <c r="D46" t="s">
        <v>173</v>
      </c>
      <c r="F46">
        <v>0</v>
      </c>
      <c r="G46" t="s">
        <v>727</v>
      </c>
    </row>
    <row r="47" spans="1:7" ht="29" x14ac:dyDescent="0.35">
      <c r="A47" t="s">
        <v>144</v>
      </c>
      <c r="B47">
        <v>15</v>
      </c>
      <c r="C47">
        <v>1</v>
      </c>
      <c r="D47" t="s">
        <v>691</v>
      </c>
      <c r="F47">
        <v>1</v>
      </c>
      <c r="G47" s="155" t="s">
        <v>728</v>
      </c>
    </row>
    <row r="48" spans="1:7" x14ac:dyDescent="0.35">
      <c r="A48" t="s">
        <v>144</v>
      </c>
      <c r="B48">
        <v>16</v>
      </c>
      <c r="C48">
        <v>1</v>
      </c>
      <c r="D48" t="s">
        <v>177</v>
      </c>
      <c r="F48">
        <v>0</v>
      </c>
      <c r="G48" t="s">
        <v>826</v>
      </c>
    </row>
    <row r="49" spans="1:7" x14ac:dyDescent="0.35">
      <c r="A49" t="s">
        <v>144</v>
      </c>
      <c r="B49">
        <v>17</v>
      </c>
      <c r="C49">
        <v>1</v>
      </c>
      <c r="D49" t="s">
        <v>180</v>
      </c>
      <c r="F49">
        <v>0</v>
      </c>
      <c r="G49" t="s">
        <v>827</v>
      </c>
    </row>
    <row r="50" spans="1:7" x14ac:dyDescent="0.35">
      <c r="A50" t="s">
        <v>144</v>
      </c>
      <c r="B50">
        <v>18</v>
      </c>
      <c r="C50">
        <v>1</v>
      </c>
      <c r="D50" t="s">
        <v>182</v>
      </c>
      <c r="F50">
        <v>0</v>
      </c>
      <c r="G50" t="s">
        <v>828</v>
      </c>
    </row>
    <row r="51" spans="1:7" x14ac:dyDescent="0.35">
      <c r="A51" t="s">
        <v>144</v>
      </c>
      <c r="B51">
        <v>19</v>
      </c>
      <c r="C51">
        <v>1</v>
      </c>
      <c r="D51" t="s">
        <v>184</v>
      </c>
      <c r="F51">
        <v>0</v>
      </c>
      <c r="G51" t="s">
        <v>829</v>
      </c>
    </row>
    <row r="52" spans="1:7" x14ac:dyDescent="0.35">
      <c r="A52" t="s">
        <v>144</v>
      </c>
      <c r="B52">
        <v>20</v>
      </c>
      <c r="C52">
        <v>1</v>
      </c>
      <c r="D52" t="s">
        <v>186</v>
      </c>
      <c r="F52">
        <v>0</v>
      </c>
      <c r="G52" t="s">
        <v>830</v>
      </c>
    </row>
    <row r="53" spans="1:7" x14ac:dyDescent="0.35">
      <c r="A53" t="s">
        <v>144</v>
      </c>
      <c r="B53">
        <v>21</v>
      </c>
      <c r="C53">
        <v>1</v>
      </c>
      <c r="D53" t="s">
        <v>188</v>
      </c>
      <c r="F53">
        <v>0</v>
      </c>
      <c r="G53" t="s">
        <v>831</v>
      </c>
    </row>
    <row r="54" spans="1:7" x14ac:dyDescent="0.35">
      <c r="A54" t="s">
        <v>144</v>
      </c>
      <c r="B54">
        <v>22</v>
      </c>
      <c r="C54">
        <v>2</v>
      </c>
      <c r="D54" t="s">
        <v>191</v>
      </c>
      <c r="F54">
        <v>0</v>
      </c>
      <c r="G54" t="s">
        <v>832</v>
      </c>
    </row>
    <row r="55" spans="1:7" x14ac:dyDescent="0.35">
      <c r="A55" t="s">
        <v>144</v>
      </c>
      <c r="B55">
        <v>24</v>
      </c>
      <c r="C55">
        <v>8</v>
      </c>
      <c r="D55" t="s">
        <v>192</v>
      </c>
      <c r="E55" t="s">
        <v>18</v>
      </c>
      <c r="F55">
        <v>1</v>
      </c>
      <c r="G55" t="s">
        <v>736</v>
      </c>
    </row>
    <row r="56" spans="1:7" ht="29" x14ac:dyDescent="0.35">
      <c r="A56" t="s">
        <v>194</v>
      </c>
      <c r="B56">
        <v>0</v>
      </c>
      <c r="C56">
        <v>15</v>
      </c>
      <c r="D56" t="s">
        <v>195</v>
      </c>
      <c r="E56" t="s">
        <v>18</v>
      </c>
      <c r="F56">
        <v>5</v>
      </c>
      <c r="G56" s="155" t="s">
        <v>737</v>
      </c>
    </row>
    <row r="57" spans="1:7" x14ac:dyDescent="0.35">
      <c r="A57" t="s">
        <v>194</v>
      </c>
      <c r="B57">
        <v>15</v>
      </c>
      <c r="C57">
        <v>1</v>
      </c>
      <c r="D57" t="s">
        <v>198</v>
      </c>
      <c r="E57" t="s">
        <v>18</v>
      </c>
      <c r="F57">
        <v>0</v>
      </c>
      <c r="G57" t="s">
        <v>833</v>
      </c>
    </row>
    <row r="58" spans="1:7" x14ac:dyDescent="0.35">
      <c r="A58" t="s">
        <v>194</v>
      </c>
      <c r="B58">
        <v>16</v>
      </c>
      <c r="C58">
        <v>1</v>
      </c>
      <c r="D58" t="s">
        <v>200</v>
      </c>
      <c r="F58">
        <v>0</v>
      </c>
      <c r="G58" t="s">
        <v>834</v>
      </c>
    </row>
    <row r="59" spans="1:7" x14ac:dyDescent="0.35">
      <c r="A59" t="s">
        <v>194</v>
      </c>
      <c r="B59">
        <v>17</v>
      </c>
      <c r="C59">
        <v>1</v>
      </c>
      <c r="D59" t="s">
        <v>244</v>
      </c>
      <c r="F59">
        <v>1</v>
      </c>
      <c r="G59" t="s">
        <v>740</v>
      </c>
    </row>
    <row r="60" spans="1:7" x14ac:dyDescent="0.35">
      <c r="A60" t="s">
        <v>194</v>
      </c>
      <c r="B60">
        <v>18</v>
      </c>
      <c r="C60">
        <v>3</v>
      </c>
      <c r="D60" t="s">
        <v>202</v>
      </c>
      <c r="F60">
        <v>1</v>
      </c>
      <c r="G60" t="s">
        <v>741</v>
      </c>
    </row>
    <row r="61" spans="1:7" x14ac:dyDescent="0.35">
      <c r="A61" t="s">
        <v>194</v>
      </c>
      <c r="B61">
        <v>21</v>
      </c>
      <c r="C61">
        <v>3</v>
      </c>
      <c r="D61" t="s">
        <v>204</v>
      </c>
      <c r="F61" t="s">
        <v>50</v>
      </c>
      <c r="G61" t="s">
        <v>810</v>
      </c>
    </row>
    <row r="62" spans="1:7" x14ac:dyDescent="0.35">
      <c r="A62" t="s">
        <v>194</v>
      </c>
      <c r="B62">
        <v>24</v>
      </c>
      <c r="C62">
        <v>4</v>
      </c>
      <c r="D62" t="s">
        <v>205</v>
      </c>
      <c r="F62">
        <v>1</v>
      </c>
      <c r="G62" t="s">
        <v>745</v>
      </c>
    </row>
    <row r="63" spans="1:7" x14ac:dyDescent="0.35">
      <c r="A63" t="s">
        <v>194</v>
      </c>
      <c r="B63">
        <v>28</v>
      </c>
      <c r="C63">
        <v>4</v>
      </c>
      <c r="D63" t="s">
        <v>207</v>
      </c>
      <c r="F63">
        <v>1</v>
      </c>
      <c r="G63" t="s">
        <v>746</v>
      </c>
    </row>
    <row r="64" spans="1:7" x14ac:dyDescent="0.35">
      <c r="A64" t="s">
        <v>34</v>
      </c>
      <c r="B64">
        <v>0</v>
      </c>
      <c r="C64">
        <v>1</v>
      </c>
      <c r="D64" t="s">
        <v>211</v>
      </c>
      <c r="E64" t="s">
        <v>18</v>
      </c>
      <c r="F64">
        <v>0</v>
      </c>
      <c r="G64" t="s">
        <v>835</v>
      </c>
    </row>
    <row r="65" spans="1:7" x14ac:dyDescent="0.35">
      <c r="A65" t="s">
        <v>34</v>
      </c>
      <c r="B65">
        <v>1</v>
      </c>
      <c r="C65">
        <v>1</v>
      </c>
      <c r="D65" t="s">
        <v>213</v>
      </c>
      <c r="E65" t="s">
        <v>18</v>
      </c>
      <c r="F65">
        <v>0</v>
      </c>
      <c r="G65" t="s">
        <v>836</v>
      </c>
    </row>
    <row r="66" spans="1:7" x14ac:dyDescent="0.35">
      <c r="A66" t="s">
        <v>34</v>
      </c>
      <c r="B66">
        <v>2</v>
      </c>
      <c r="C66">
        <v>1</v>
      </c>
      <c r="D66" t="s">
        <v>215</v>
      </c>
      <c r="E66" t="s">
        <v>18</v>
      </c>
      <c r="F66">
        <v>0</v>
      </c>
      <c r="G66" t="s">
        <v>837</v>
      </c>
    </row>
    <row r="67" spans="1:7" x14ac:dyDescent="0.35">
      <c r="A67" t="s">
        <v>34</v>
      </c>
      <c r="B67">
        <v>3</v>
      </c>
      <c r="C67">
        <v>1</v>
      </c>
      <c r="D67" t="s">
        <v>216</v>
      </c>
      <c r="E67" t="s">
        <v>18</v>
      </c>
      <c r="F67">
        <v>1</v>
      </c>
      <c r="G67" t="s">
        <v>750</v>
      </c>
    </row>
    <row r="68" spans="1:7" x14ac:dyDescent="0.35">
      <c r="A68" t="s">
        <v>34</v>
      </c>
      <c r="B68">
        <v>4</v>
      </c>
      <c r="C68">
        <v>1</v>
      </c>
      <c r="D68" t="s">
        <v>218</v>
      </c>
      <c r="E68" t="s">
        <v>18</v>
      </c>
      <c r="F68">
        <v>1</v>
      </c>
      <c r="G68" t="s">
        <v>751</v>
      </c>
    </row>
    <row r="69" spans="1:7" x14ac:dyDescent="0.35">
      <c r="A69" t="s">
        <v>34</v>
      </c>
      <c r="B69">
        <v>5</v>
      </c>
      <c r="C69">
        <v>1</v>
      </c>
      <c r="D69" t="s">
        <v>220</v>
      </c>
      <c r="E69" t="s">
        <v>18</v>
      </c>
      <c r="F69" t="s">
        <v>50</v>
      </c>
      <c r="G69" t="s">
        <v>811</v>
      </c>
    </row>
    <row r="70" spans="1:7" x14ac:dyDescent="0.35">
      <c r="A70" t="s">
        <v>34</v>
      </c>
      <c r="B70">
        <v>6</v>
      </c>
      <c r="C70">
        <v>1</v>
      </c>
      <c r="D70" t="s">
        <v>223</v>
      </c>
      <c r="E70" t="s">
        <v>18</v>
      </c>
      <c r="F70">
        <v>0</v>
      </c>
      <c r="G70" t="s">
        <v>838</v>
      </c>
    </row>
    <row r="71" spans="1:7" x14ac:dyDescent="0.35">
      <c r="A71" t="s">
        <v>34</v>
      </c>
      <c r="B71">
        <v>7</v>
      </c>
      <c r="C71">
        <v>1</v>
      </c>
      <c r="D71" t="s">
        <v>225</v>
      </c>
      <c r="E71" t="s">
        <v>18</v>
      </c>
      <c r="F71">
        <v>0</v>
      </c>
      <c r="G71" t="s">
        <v>839</v>
      </c>
    </row>
    <row r="72" spans="1:7" ht="29" x14ac:dyDescent="0.35">
      <c r="A72" t="s">
        <v>34</v>
      </c>
      <c r="B72">
        <v>8</v>
      </c>
      <c r="C72">
        <v>1</v>
      </c>
      <c r="D72" t="s">
        <v>226</v>
      </c>
      <c r="F72">
        <v>1</v>
      </c>
      <c r="G72" s="155" t="s">
        <v>754</v>
      </c>
    </row>
    <row r="73" spans="1:7" x14ac:dyDescent="0.35">
      <c r="A73" t="s">
        <v>34</v>
      </c>
      <c r="B73">
        <v>9</v>
      </c>
      <c r="C73">
        <v>7</v>
      </c>
      <c r="D73" t="s">
        <v>230</v>
      </c>
      <c r="F73">
        <v>0</v>
      </c>
      <c r="G73" t="s">
        <v>840</v>
      </c>
    </row>
    <row r="74" spans="1:7" x14ac:dyDescent="0.35">
      <c r="A74" t="s">
        <v>34</v>
      </c>
      <c r="B74">
        <v>16</v>
      </c>
      <c r="C74">
        <v>1</v>
      </c>
      <c r="D74" t="s">
        <v>233</v>
      </c>
      <c r="E74" t="s">
        <v>18</v>
      </c>
      <c r="F74">
        <v>0</v>
      </c>
      <c r="G74" t="s">
        <v>841</v>
      </c>
    </row>
    <row r="75" spans="1:7" x14ac:dyDescent="0.35">
      <c r="A75" t="s">
        <v>34</v>
      </c>
      <c r="B75">
        <v>17</v>
      </c>
      <c r="C75">
        <v>1</v>
      </c>
      <c r="D75" t="s">
        <v>692</v>
      </c>
      <c r="E75" t="s">
        <v>18</v>
      </c>
      <c r="F75">
        <v>1</v>
      </c>
      <c r="G75" t="s">
        <v>757</v>
      </c>
    </row>
    <row r="76" spans="1:7" x14ac:dyDescent="0.35">
      <c r="A76" t="s">
        <v>34</v>
      </c>
      <c r="B76">
        <v>18</v>
      </c>
      <c r="C76">
        <v>1</v>
      </c>
      <c r="D76" t="s">
        <v>236</v>
      </c>
      <c r="E76" t="s">
        <v>18</v>
      </c>
      <c r="F76">
        <v>0</v>
      </c>
      <c r="G76" t="s">
        <v>842</v>
      </c>
    </row>
    <row r="77" spans="1:7" x14ac:dyDescent="0.35">
      <c r="A77" t="s">
        <v>34</v>
      </c>
      <c r="B77">
        <v>19</v>
      </c>
      <c r="C77">
        <v>1</v>
      </c>
      <c r="D77" t="s">
        <v>238</v>
      </c>
      <c r="E77" t="s">
        <v>18</v>
      </c>
      <c r="F77">
        <v>0</v>
      </c>
      <c r="G77" t="s">
        <v>843</v>
      </c>
    </row>
    <row r="78" spans="1:7" x14ac:dyDescent="0.35">
      <c r="A78" t="s">
        <v>34</v>
      </c>
      <c r="B78">
        <v>20</v>
      </c>
      <c r="C78">
        <v>1</v>
      </c>
      <c r="D78" t="s">
        <v>240</v>
      </c>
      <c r="E78" t="s">
        <v>18</v>
      </c>
      <c r="F78">
        <v>0</v>
      </c>
      <c r="G78" t="s">
        <v>844</v>
      </c>
    </row>
    <row r="79" spans="1:7" x14ac:dyDescent="0.35">
      <c r="A79" t="s">
        <v>34</v>
      </c>
      <c r="B79">
        <v>21</v>
      </c>
      <c r="C79">
        <v>1</v>
      </c>
      <c r="D79" t="s">
        <v>243</v>
      </c>
      <c r="E79" t="s">
        <v>18</v>
      </c>
      <c r="F79">
        <v>0</v>
      </c>
      <c r="G79" t="s">
        <v>845</v>
      </c>
    </row>
    <row r="80" spans="1:7" x14ac:dyDescent="0.35">
      <c r="A80" t="s">
        <v>34</v>
      </c>
      <c r="B80">
        <v>22</v>
      </c>
      <c r="C80">
        <v>2</v>
      </c>
      <c r="D80" t="s">
        <v>681</v>
      </c>
      <c r="E80" t="s">
        <v>18</v>
      </c>
      <c r="F80" t="s">
        <v>50</v>
      </c>
      <c r="G80" t="s">
        <v>812</v>
      </c>
    </row>
    <row r="81" spans="1:7" x14ac:dyDescent="0.35">
      <c r="A81" t="s">
        <v>34</v>
      </c>
      <c r="B81">
        <v>24</v>
      </c>
      <c r="C81">
        <v>1</v>
      </c>
      <c r="D81" t="s">
        <v>245</v>
      </c>
      <c r="F81">
        <v>1</v>
      </c>
      <c r="G81" t="s">
        <v>742</v>
      </c>
    </row>
    <row r="82" spans="1:7" ht="29" x14ac:dyDescent="0.35">
      <c r="A82" t="s">
        <v>34</v>
      </c>
      <c r="B82">
        <v>25</v>
      </c>
      <c r="C82">
        <v>1</v>
      </c>
      <c r="D82" t="s">
        <v>247</v>
      </c>
      <c r="F82">
        <v>1</v>
      </c>
      <c r="G82" s="155" t="s">
        <v>743</v>
      </c>
    </row>
    <row r="83" spans="1:7" x14ac:dyDescent="0.35">
      <c r="A83" t="s">
        <v>34</v>
      </c>
      <c r="B83">
        <v>26</v>
      </c>
      <c r="C83">
        <v>5</v>
      </c>
      <c r="D83" t="s">
        <v>251</v>
      </c>
      <c r="F83">
        <v>0</v>
      </c>
      <c r="G83" t="s">
        <v>846</v>
      </c>
    </row>
    <row r="84" spans="1:7" x14ac:dyDescent="0.35">
      <c r="A84" t="s">
        <v>34</v>
      </c>
      <c r="B84">
        <v>31</v>
      </c>
      <c r="C84">
        <v>1</v>
      </c>
      <c r="D84" t="s">
        <v>252</v>
      </c>
      <c r="F84">
        <v>1</v>
      </c>
      <c r="G84" t="s">
        <v>807</v>
      </c>
    </row>
    <row r="85" spans="1:7" x14ac:dyDescent="0.35">
      <c r="A85" t="s">
        <v>40</v>
      </c>
      <c r="B85">
        <v>0</v>
      </c>
      <c r="C85">
        <v>16</v>
      </c>
      <c r="D85" t="s">
        <v>270</v>
      </c>
      <c r="E85" t="s">
        <v>18</v>
      </c>
      <c r="F85">
        <v>1</v>
      </c>
      <c r="G85" t="s">
        <v>780</v>
      </c>
    </row>
    <row r="86" spans="1:7" x14ac:dyDescent="0.35">
      <c r="A86" t="s">
        <v>40</v>
      </c>
      <c r="B86">
        <v>16</v>
      </c>
      <c r="C86">
        <v>8</v>
      </c>
      <c r="D86" t="s">
        <v>271</v>
      </c>
      <c r="E86" t="s">
        <v>18</v>
      </c>
      <c r="F86">
        <v>1</v>
      </c>
      <c r="G86" t="s">
        <v>781</v>
      </c>
    </row>
    <row r="87" spans="1:7" x14ac:dyDescent="0.35">
      <c r="A87" t="s">
        <v>40</v>
      </c>
      <c r="B87">
        <v>24</v>
      </c>
      <c r="C87">
        <v>4</v>
      </c>
      <c r="D87" t="s">
        <v>272</v>
      </c>
      <c r="E87" t="s">
        <v>18</v>
      </c>
      <c r="F87">
        <v>1</v>
      </c>
      <c r="G87" t="s">
        <v>782</v>
      </c>
    </row>
    <row r="88" spans="1:7" x14ac:dyDescent="0.35">
      <c r="A88" t="s">
        <v>40</v>
      </c>
      <c r="B88">
        <v>28</v>
      </c>
      <c r="C88">
        <v>4</v>
      </c>
      <c r="D88" t="s">
        <v>273</v>
      </c>
      <c r="E88" t="s">
        <v>18</v>
      </c>
      <c r="F88">
        <v>1</v>
      </c>
      <c r="G88" t="s">
        <v>783</v>
      </c>
    </row>
    <row r="89" spans="1:7" x14ac:dyDescent="0.35">
      <c r="G89"/>
    </row>
    <row r="90" spans="1:7" x14ac:dyDescent="0.35">
      <c r="G90"/>
    </row>
    <row r="91" spans="1:7" x14ac:dyDescent="0.35">
      <c r="G91"/>
    </row>
    <row r="92" spans="1:7" x14ac:dyDescent="0.35">
      <c r="G92"/>
    </row>
    <row r="93" spans="1:7" x14ac:dyDescent="0.35">
      <c r="G93"/>
    </row>
    <row r="94" spans="1:7" x14ac:dyDescent="0.35">
      <c r="G94"/>
    </row>
    <row r="95" spans="1:7" x14ac:dyDescent="0.35">
      <c r="G95"/>
    </row>
    <row r="96" spans="1:7" x14ac:dyDescent="0.35">
      <c r="G96"/>
    </row>
    <row r="97" spans="7:7" x14ac:dyDescent="0.35">
      <c r="G97"/>
    </row>
    <row r="98" spans="7:7" x14ac:dyDescent="0.35">
      <c r="G98"/>
    </row>
    <row r="99" spans="7:7" x14ac:dyDescent="0.35">
      <c r="G99"/>
    </row>
    <row r="100" spans="7:7" x14ac:dyDescent="0.35">
      <c r="G100"/>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584200</xdr:colOff>
                    <xdr:row>0</xdr:row>
                    <xdr:rowOff>0</xdr:rowOff>
                  </from>
                  <to>
                    <xdr:col>16</xdr:col>
                    <xdr:colOff>603250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5"/>
  <sheetViews>
    <sheetView zoomScale="85" zoomScaleNormal="85" workbookViewId="0">
      <selection activeCell="J17" sqref="J17:K17"/>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412</v>
      </c>
      <c r="C1" s="29"/>
      <c r="D1" s="30" t="s">
        <v>622</v>
      </c>
      <c r="E1" s="30"/>
    </row>
    <row r="2" spans="1:15" ht="15" customHeight="1" thickBot="1" x14ac:dyDescent="0.4">
      <c r="A2" s="37" t="s">
        <v>0</v>
      </c>
      <c r="B2" s="43" t="s">
        <v>1</v>
      </c>
      <c r="C2" s="43" t="s">
        <v>383</v>
      </c>
      <c r="D2" s="43" t="s">
        <v>2</v>
      </c>
      <c r="E2" s="38" t="s">
        <v>436</v>
      </c>
      <c r="F2" s="86" t="s">
        <v>3</v>
      </c>
      <c r="G2" s="87" t="s">
        <v>4</v>
      </c>
      <c r="H2" s="87" t="s">
        <v>5</v>
      </c>
      <c r="I2" s="87" t="s">
        <v>6</v>
      </c>
      <c r="J2" s="87" t="s">
        <v>397</v>
      </c>
      <c r="K2" s="87" t="s">
        <v>398</v>
      </c>
      <c r="L2" s="87" t="s">
        <v>638</v>
      </c>
      <c r="M2" s="87" t="s">
        <v>7</v>
      </c>
      <c r="N2" s="87" t="s">
        <v>8</v>
      </c>
      <c r="O2" s="121" t="s">
        <v>640</v>
      </c>
    </row>
    <row r="3" spans="1:15" ht="15" customHeight="1" x14ac:dyDescent="0.35">
      <c r="A3" s="164" t="s">
        <v>9</v>
      </c>
      <c r="B3" s="58" t="s">
        <v>407</v>
      </c>
      <c r="C3" s="58" t="s">
        <v>407</v>
      </c>
      <c r="D3" s="58" t="s">
        <v>10</v>
      </c>
      <c r="E3" s="44"/>
      <c r="F3" s="138" t="s">
        <v>11</v>
      </c>
      <c r="G3" s="80">
        <f ca="1">IF($C3="No Param",32,VLOOKUP($C3,INDIRECT(Config!$B$1),HLOOKUP(D$1,INDIRECT(Config!$E$1),2,FALSE),FALSE))</f>
        <v>512</v>
      </c>
      <c r="H3" s="31" t="s">
        <v>12</v>
      </c>
      <c r="I3" s="31" t="s">
        <v>13</v>
      </c>
      <c r="J3" s="31" t="s">
        <v>399</v>
      </c>
      <c r="K3" s="31" t="s">
        <v>399</v>
      </c>
      <c r="L3" s="31" t="str">
        <f ca="1">IF(VLOOKUP("EXT_FUSE_PULL_SUPP", INDIRECT(Config!$B$1),HLOOKUP(D$1,INDIRECT(Config!$E$1),2,FALSE),FALSE)=1, IF(G3&gt;0,CONCATENATE("CSME_Security_keys[",G3-1,":0]"), ""), "")</f>
        <v/>
      </c>
      <c r="M3" s="165" t="s">
        <v>379</v>
      </c>
      <c r="N3" s="168" t="s">
        <v>14</v>
      </c>
      <c r="O3" s="169">
        <f ca="1">($G3+$G4+$G5+$G6+$G7)</f>
        <v>1056</v>
      </c>
    </row>
    <row r="4" spans="1:15" ht="15" customHeight="1" x14ac:dyDescent="0.35">
      <c r="A4" s="164"/>
      <c r="B4" s="46" t="s">
        <v>408</v>
      </c>
      <c r="C4" s="46" t="s">
        <v>408</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399</v>
      </c>
      <c r="K4" s="17" t="s">
        <v>399</v>
      </c>
      <c r="L4" s="84" t="str">
        <f ca="1">IF(VLOOKUP("EXT_FUSE_PULL_SUPP", INDIRECT(Config!$B$1),HLOOKUP(D$1,INDIRECT(Config!$E$1),2,FALSE),FALSE)=1, IF(G4&gt;0,CONCATENATE("CSME_Security_Keys_Fuse_Check_Hash[",G4-1,":0]"), ""), "")</f>
        <v/>
      </c>
      <c r="M4" s="166"/>
      <c r="N4" s="166"/>
      <c r="O4" s="170"/>
    </row>
    <row r="5" spans="1:15" ht="15" customHeight="1" x14ac:dyDescent="0.35">
      <c r="A5" s="164"/>
      <c r="B5" s="46" t="s">
        <v>409</v>
      </c>
      <c r="C5" s="46" t="s">
        <v>409</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399</v>
      </c>
      <c r="K5" s="17" t="s">
        <v>399</v>
      </c>
      <c r="L5" s="84" t="str">
        <f ca="1">IF(VLOOKUP("EXT_FUSE_PULL_SUPP", INDIRECT(Config!$B$1),HLOOKUP(D$1,INDIRECT(Config!$E$1),2,FALSE),FALSE)=1, IF(G5&gt;0,CONCATENATE("CSME_Debug_Enabled_Security_Key[",G5-1,":0]"),""), "")</f>
        <v/>
      </c>
      <c r="M5" s="166"/>
      <c r="N5" s="166"/>
      <c r="O5" s="170"/>
    </row>
    <row r="6" spans="1:15" ht="15" customHeight="1" x14ac:dyDescent="0.35">
      <c r="A6" s="164"/>
      <c r="B6" s="90" t="s">
        <v>410</v>
      </c>
      <c r="C6" s="90" t="s">
        <v>410</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399</v>
      </c>
      <c r="K6" s="17" t="s">
        <v>399</v>
      </c>
      <c r="L6" s="84" t="str">
        <f ca="1">IF(VLOOKUP("EXT_FUSE_PULL_SUPP", INDIRECT(Config!$B$1),HLOOKUP(D$1,INDIRECT(Config!$E$1),2,FALSE),FALSE)=1, IF(G6&gt;0,CONCATENATE("CSME_Debug_Encryption_Security_Key[",G6-1,":0]"),""), "")</f>
        <v/>
      </c>
      <c r="M6" s="166"/>
      <c r="N6" s="166"/>
      <c r="O6" s="170"/>
    </row>
    <row r="7" spans="1:15" ht="15" customHeight="1" thickBot="1" x14ac:dyDescent="0.4">
      <c r="A7" s="164"/>
      <c r="B7" s="91" t="s">
        <v>434</v>
      </c>
      <c r="C7" s="99" t="s">
        <v>434</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399</v>
      </c>
      <c r="K7" s="33" t="s">
        <v>399</v>
      </c>
      <c r="L7" s="56" t="str">
        <f ca="1">IF(VLOOKUP("EXT_FUSE_PULL_SUPP", INDIRECT(Config!$B$1),HLOOKUP(D$1,INDIRECT(Config!$E$1),2,FALSE),FALSE)=1, IF(G7&gt;0,CONCATENATE("Security_Fuses_Valid[",G7-1,":0]"),""), "")</f>
        <v/>
      </c>
      <c r="M7" s="167"/>
      <c r="N7" s="167"/>
      <c r="O7" s="171"/>
    </row>
    <row r="8" spans="1:15" x14ac:dyDescent="0.35">
      <c r="A8" s="34" t="s">
        <v>16</v>
      </c>
      <c r="B8" s="92" t="s">
        <v>17</v>
      </c>
      <c r="C8" s="92" t="s">
        <v>17</v>
      </c>
      <c r="D8" s="44" t="s">
        <v>18</v>
      </c>
      <c r="E8" s="58"/>
      <c r="F8" s="88" t="s">
        <v>19</v>
      </c>
      <c r="G8" s="85">
        <f ca="1">IF($C8="No Param",32,VLOOKUP($C8,INDIRECT(Config!$B$1),HLOOKUP(D$1,INDIRECT(Config!$E$1),2,FALSE),FALSE))</f>
        <v>768</v>
      </c>
      <c r="H8" s="84" t="s">
        <v>572</v>
      </c>
      <c r="I8" s="84" t="s">
        <v>20</v>
      </c>
      <c r="J8" s="84" t="s">
        <v>399</v>
      </c>
      <c r="K8" s="84" t="s">
        <v>399</v>
      </c>
      <c r="L8" s="84" t="str">
        <f ca="1">IF(VLOOKUP("EXT_FUSE_PULL_SUPP", INDIRECT(Config!$B$1),HLOOKUP(D$1,INDIRECT(Config!$E$1),2,FALSE),FALSE)=1, IF(G8&gt;0,CONCATENATE("CSME_ECC_P384_ONDIE_ROM_CERT[",G8-1,":0]"), ""), "")</f>
        <v/>
      </c>
      <c r="M8" s="172" t="s">
        <v>380</v>
      </c>
      <c r="N8" s="175" t="s">
        <v>21</v>
      </c>
      <c r="O8" s="177">
        <f ca="1">($G8+$G9+$G10+$G12)</f>
        <v>960</v>
      </c>
    </row>
    <row r="9" spans="1:15" x14ac:dyDescent="0.35">
      <c r="A9" s="179" t="s">
        <v>22</v>
      </c>
      <c r="B9" s="93" t="s">
        <v>411</v>
      </c>
      <c r="C9" s="93" t="s">
        <v>411</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399</v>
      </c>
      <c r="K9" s="17" t="s">
        <v>399</v>
      </c>
      <c r="L9" s="84" t="str">
        <f ca="1">IF(VLOOKUP("EXT_FUSE_PULL_SUPP", INDIRECT(Config!$B$1),HLOOKUP(D$1,INDIRECT(Config!$E$1),2,FALSE),FALSE)=1, IF(G9&gt;0,CONCATENATE("CSME_HW_FW_Config_fuses[",G9-1,":0]"), ""), "")</f>
        <v/>
      </c>
      <c r="M9" s="173"/>
      <c r="N9" s="166"/>
      <c r="O9" s="170"/>
    </row>
    <row r="10" spans="1:15" x14ac:dyDescent="0.35">
      <c r="A10" s="180"/>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399</v>
      </c>
      <c r="K10" s="17" t="s">
        <v>399</v>
      </c>
      <c r="L10" s="84" t="str">
        <f ca="1">IF(VLOOKUP("EXT_FUSE_PULL_SUPP", INDIRECT(Config!$B$1),HLOOKUP(D$1,INDIRECT(Config!$E$1),2,FALSE),FALSE)=1, IF(G10&gt;0,CONCATENATE("GENERAL_FW_FUSES_CHECK[",G10-1,":0]"),""), "")</f>
        <v/>
      </c>
      <c r="M10" s="173"/>
      <c r="N10" s="166"/>
      <c r="O10" s="170"/>
    </row>
    <row r="11" spans="1:15" x14ac:dyDescent="0.35">
      <c r="A11" s="180"/>
      <c r="B11" s="63" t="s">
        <v>435</v>
      </c>
      <c r="C11" s="63" t="s">
        <v>435</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399</v>
      </c>
      <c r="K11" s="17" t="s">
        <v>399</v>
      </c>
      <c r="L11" s="84" t="str">
        <f ca="1">IF(VLOOKUP("EXT_FUSE_PULL_SUPP", INDIRECT(Config!$B$1),HLOOKUP(D$1,INDIRECT(Config!$E$1),2,FALSE),FALSE)=1, IF(G11&gt;0,CONCATENATE("FW_Fuses_Valid[",G11-1,":0]"),""), "")</f>
        <v/>
      </c>
      <c r="M11" s="173"/>
      <c r="N11" s="166"/>
      <c r="O11" s="170"/>
    </row>
    <row r="12" spans="1:15" ht="15" thickBot="1" x14ac:dyDescent="0.4">
      <c r="A12" s="181"/>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399</v>
      </c>
      <c r="K12" s="104" t="s">
        <v>399</v>
      </c>
      <c r="L12" s="120" t="str">
        <f ca="1">IF(VLOOKUP("EXT_FUSE_PULL_SUPP", INDIRECT(Config!$B$1),HLOOKUP(D$1,INDIRECT(Config!$E$1),2,FALSE),FALSE)=1, IF(G12&gt;0,CONCATENATE("HW_OCS_PUF_ECC[",G12-1,":0]"),""), "")</f>
        <v/>
      </c>
      <c r="M12" s="174"/>
      <c r="N12" s="176"/>
      <c r="O12" s="178"/>
    </row>
    <row r="13" spans="1:15" ht="15" customHeight="1" x14ac:dyDescent="0.35">
      <c r="A13" s="179" t="s">
        <v>25</v>
      </c>
      <c r="B13" s="44" t="s">
        <v>26</v>
      </c>
      <c r="C13" s="48" t="s">
        <v>626</v>
      </c>
      <c r="D13" s="182" t="s">
        <v>27</v>
      </c>
      <c r="E13" s="148"/>
      <c r="F13" s="138" t="s">
        <v>28</v>
      </c>
      <c r="G13" s="80">
        <f ca="1">IF($C13="No Param",32,VLOOKUP($C13,INDIRECT(Config!$B$1),HLOOKUP(D$1,INDIRECT(Config!$E$1),2,FALSE),FALSE)*32)</f>
        <v>32</v>
      </c>
      <c r="H13" s="31" t="s">
        <v>29</v>
      </c>
      <c r="I13" s="31" t="s">
        <v>30</v>
      </c>
      <c r="J13"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3"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3" s="31" t="str">
        <f ca="1">IF(VLOOKUP("EXT_FUSE_PULL_SUPP", INDIRECT(Config!$B$1),HLOOKUP(D$1,INDIRECT(Config!$E$1),2,FALSE),FALSE)=1, IF(G13&gt;0,CONCATENATE("CSME_HW_FW_Config_fusess[",G13-1,":0]"), ""), "")</f>
        <v/>
      </c>
      <c r="M13" s="165" t="s">
        <v>381</v>
      </c>
      <c r="N13" s="168" t="s">
        <v>31</v>
      </c>
      <c r="O13" s="169">
        <f ca="1">(4*32+G17+G18+G19+G20+G21+G22)</f>
        <v>160</v>
      </c>
    </row>
    <row r="14" spans="1:15" x14ac:dyDescent="0.35">
      <c r="A14" s="180"/>
      <c r="B14" s="46" t="s">
        <v>32</v>
      </c>
      <c r="C14" s="49" t="s">
        <v>626</v>
      </c>
      <c r="D14" s="183"/>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4"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4" s="17" t="str">
        <f ca="1">IF(VLOOKUP("EXT_FUSE_PULL_SUPP", INDIRECT(Config!$B$1),HLOOKUP(D$1,INDIRECT(Config!$E$1),2,FALSE),FALSE)=1, IF(G14&gt;0,CONCATENATE("CSME_HW_FW_Config_fusess[",G14-1+G13,":",G13,"]"), ""), "")</f>
        <v/>
      </c>
      <c r="M14" s="184"/>
      <c r="N14" s="166"/>
      <c r="O14" s="170"/>
    </row>
    <row r="15" spans="1:15" x14ac:dyDescent="0.35">
      <c r="A15" s="180"/>
      <c r="B15" s="46" t="s">
        <v>33</v>
      </c>
      <c r="C15" s="49" t="s">
        <v>626</v>
      </c>
      <c r="D15" s="183"/>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5"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5" s="17" t="str">
        <f ca="1">IF(VLOOKUP("EXT_FUSE_PULL_SUPP", INDIRECT(Config!$B$1),HLOOKUP(D$1,INDIRECT(Config!$E$1),2,FALSE),FALSE)=1, IF(G15&gt;0,CONCATENATE("CSME_HW_FW_Config_fusess[",G15-1+G14+G13,":",G14+G13,"]"), ""), "")</f>
        <v/>
      </c>
      <c r="M15" s="184"/>
      <c r="N15" s="166"/>
      <c r="O15" s="170"/>
    </row>
    <row r="16" spans="1:15" x14ac:dyDescent="0.35">
      <c r="A16" s="180"/>
      <c r="B16" s="46" t="s">
        <v>34</v>
      </c>
      <c r="C16" s="49" t="s">
        <v>626</v>
      </c>
      <c r="D16" s="183"/>
      <c r="E16" s="14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6"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6" s="17" t="str">
        <f ca="1">IF(VLOOKUP("EXT_FUSE_PULL_SUPP", INDIRECT(Config!$B$1),HLOOKUP(D$1,INDIRECT(Config!$E$1),2,FALSE),FALSE)=1, IF(G16&gt;0,CONCATENATE("CSME_HW_FW_Config_fusess[",G16-1+G15+G14+G13,":",G15+G14+G13,"]"), ""), "")</f>
        <v/>
      </c>
      <c r="M16" s="184"/>
      <c r="N16" s="166"/>
      <c r="O16" s="170"/>
    </row>
    <row r="17" spans="1:15" x14ac:dyDescent="0.35">
      <c r="A17" s="180"/>
      <c r="B17" s="46" t="s">
        <v>36</v>
      </c>
      <c r="C17" s="46" t="s">
        <v>261</v>
      </c>
      <c r="D17" s="183"/>
      <c r="E17" s="14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+_xlfn.BITLSHIFT(1, Group1!C87)*Group1!G87*IF(Group1!M87="N/A", 0, Group1!M87), 8))</f>
        <v>0x00000000</v>
      </c>
      <c r="K17" s="17" t="str">
        <f ca="1">CONCATENATE("0x", DEC2HEX(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+_xlfn.BITLSHIFT(1, Group1!D87)*Group1!H87*IF(Group1!N87="N/A", 0, Group1!N87), 8))</f>
        <v>0x00000000</v>
      </c>
      <c r="L17" s="17" t="str">
        <f ca="1">IF(VLOOKUP("EXT_FUSE_PULL_SUPP", INDIRECT(Config!$B$1),HLOOKUP(D$1,INDIRECT(Config!$E$1),2,FALSE),FALSE)=1, IF(G17&gt;0,CONCATENATE("CSME_HW_FW_Config_fusess[",G17-1+G16+G15+G14+G13,":",G16+G15+G14+G13,"]"), ""), "")</f>
        <v/>
      </c>
      <c r="M17" s="184"/>
      <c r="N17" s="166"/>
      <c r="O17" s="170"/>
    </row>
    <row r="18" spans="1:15" x14ac:dyDescent="0.35">
      <c r="A18" s="180"/>
      <c r="B18" s="46" t="s">
        <v>38</v>
      </c>
      <c r="C18" s="95" t="s">
        <v>221</v>
      </c>
      <c r="D18" s="183"/>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Group1!C97)*Group1!G97*Group1!M97
+_xlfn.BITLSHIFT(1, Group1!C98)*Group1!G98*Group1!M98
+_xlfn.BITLSHIFT(1, Group1!C99)*Group1!G99*Group1!M99
+_xlfn.BITLSHIFT(1, Group1!C100)*Group1!G100*Group1!M100, 8))</f>
        <v>0x00000000</v>
      </c>
      <c r="K18" s="17" t="str">
        <f ca="1">CONCATENATE("0x", DEC2HEX(
 _xlfn.BITLSHIFT(1, Group1!C97)*Group1!H97*Group1!M97
+_xlfn.BITLSHIFT(1, Group1!C98)*Group1!H98*Group1!M98
+_xlfn.BITLSHIFT(1, Group1!C99)*Group1!H99*Group1!M99
+_xlfn.BITLSHIFT(1, Group1!C100)*Group1!H100*Group1!M100, 8))</f>
        <v>0x00000000</v>
      </c>
      <c r="L18" s="17" t="str">
        <f ca="1">IF(VLOOKUP("EXT_FUSE_PULL_SUPP", INDIRECT(Config!$B$1),HLOOKUP(D$1,INDIRECT(Config!$E$1),2,FALSE),FALSE)=1, IF(G18&gt;0,CONCATENATE("CSME_HW_FW_Config_fusess[",G18-1+G17+G16+G15+G14+G13,":",G17+G16+G15+G14+G13,"]"), ""), "")</f>
        <v/>
      </c>
      <c r="M18" s="184"/>
      <c r="N18" s="166"/>
      <c r="O18" s="170"/>
    </row>
    <row r="19" spans="1:15" x14ac:dyDescent="0.35">
      <c r="A19" s="180"/>
      <c r="B19" s="95" t="s">
        <v>254</v>
      </c>
      <c r="C19" s="95" t="s">
        <v>209</v>
      </c>
      <c r="D19" s="183"/>
      <c r="E19" s="149"/>
      <c r="F19" s="89" t="s">
        <v>28</v>
      </c>
      <c r="G19" s="51">
        <f ca="1">IF($C19="No Param",32,VLOOKUP($C19,INDIRECT(Config!$B$1),HLOOKUP(D$1,INDIRECT(Config!$E$1),2,FALSE),FALSE)*32)</f>
        <v>0</v>
      </c>
      <c r="H19" s="17" t="str">
        <f ca="1">IF(G19=0, "N/A", CONCATENATE("0x",DEC2HEX(HEX2DEC(SUBSTITUTE(H17,"0x",""))+(G17+G18)/8)))</f>
        <v>N/A</v>
      </c>
      <c r="I19" s="7" t="s">
        <v>390</v>
      </c>
      <c r="J19" s="7" t="str">
        <f ca="1">CONCATENATE("0x", DEC2HEX(
 _xlfn.BITLSHIFT(1, Group1!C87)*Group1!G87*Group1!M87
+_xlfn.BITLSHIFT(1, Group1!C88)*Group1!G88*Group1!M88
+_xlfn.BITLSHIFT(1, Group1!C89)*Group1!G89*Group1!M89, 8))</f>
        <v>0x00000000</v>
      </c>
      <c r="K19" s="7" t="str">
        <f ca="1">CONCATENATE("0x", DEC2HEX(
 _xlfn.BITLSHIFT(1, Group1!C87)*Group1!H87*Group1!M87
+_xlfn.BITLSHIFT(1, Group1!C88)*Group1!H88*Group1!M88
+_xlfn.BITLSHIFT(1, Group1!C89)*Group1!H89*Group1!M89, 8))</f>
        <v>0x00000000</v>
      </c>
      <c r="L19" s="17" t="str">
        <f ca="1">IF(VLOOKUP("EXT_FUSE_PULL_SUPP", INDIRECT(Config!$B$1),HLOOKUP(D$1,INDIRECT(Config!$E$1),2,FALSE),FALSE)=1, IF(G19&gt;0,CONCATENATE("CSME_HW_FW_Config_fusess[",G19-1+G18+G17+G16+G15+G14+G13,":",G18+G17+G16+G15+G14+G13,"]"), ""), "")</f>
        <v/>
      </c>
      <c r="M19" s="184"/>
      <c r="N19" s="166"/>
      <c r="O19" s="170"/>
    </row>
    <row r="20" spans="1:15" x14ac:dyDescent="0.35">
      <c r="A20" s="180"/>
      <c r="B20" s="95" t="s">
        <v>258</v>
      </c>
      <c r="C20" s="95" t="s">
        <v>402</v>
      </c>
      <c r="D20" s="183"/>
      <c r="E20" s="149"/>
      <c r="F20" s="89" t="s">
        <v>28</v>
      </c>
      <c r="G20" s="51">
        <f ca="1">IF($C20="No Param",32,VLOOKUP($C20,INDIRECT(Config!$B$1),HLOOKUP(D$1,INDIRECT(Config!$E$1),2,FALSE),FALSE)*32)</f>
        <v>0</v>
      </c>
      <c r="H20" s="17" t="str">
        <f ca="1">IF(G20=0, "N/A", CONCATENATE("0x",DEC2HEX(HEX2DEC(SUBSTITUTE(H17,"0x",""))+(G17+G18+G19)/8)))</f>
        <v>N/A</v>
      </c>
      <c r="I20" s="7" t="s">
        <v>391</v>
      </c>
      <c r="J20" s="7" t="str">
        <f ca="1">CONCATENATE("0x", DEC2HEX(
 _xlfn.BITLSHIFT(1, Group1!C90)*Group1!G90*Group1!M90, 8))</f>
        <v>0x00000000</v>
      </c>
      <c r="K20" s="7" t="str">
        <f ca="1">CONCATENATE("0x", DEC2HEX(
 _xlfn.BITLSHIFT(1, Group1!C90)*Group1!H90*Group1!M90, 8))</f>
        <v>0x00000000</v>
      </c>
      <c r="L20" s="17" t="str">
        <f ca="1">IF(VLOOKUP("EXT_FUSE_PULL_SUPP", INDIRECT(Config!$B$1),HLOOKUP(D$1,INDIRECT(Config!$E$1),2,FALSE),FALSE)=1, IF(G20&gt;0,CONCATENATE("CSME_HW_FW_Config_fusess[",G20-1+G19+G18+G17+G16+G15+G14+G13,":",G19+G18+G17+G16+G15+G14+G13,"]"), ""), "")</f>
        <v/>
      </c>
      <c r="M20" s="184"/>
      <c r="N20" s="166"/>
      <c r="O20" s="170"/>
    </row>
    <row r="21" spans="1:15" x14ac:dyDescent="0.35">
      <c r="A21" s="180"/>
      <c r="B21" s="95" t="s">
        <v>259</v>
      </c>
      <c r="C21" s="95" t="s">
        <v>402</v>
      </c>
      <c r="D21" s="183"/>
      <c r="E21" s="149"/>
      <c r="F21" s="89" t="s">
        <v>28</v>
      </c>
      <c r="G21" s="51">
        <f ca="1">IF($C21="No Param",32,VLOOKUP($C21,INDIRECT(Config!$B$1),HLOOKUP(D$1,INDIRECT(Config!$E$1),2,FALSE),FALSE)*32)</f>
        <v>0</v>
      </c>
      <c r="H21" s="17" t="str">
        <f ca="1">IF(G21=0, "N/A", CONCATENATE("0x",DEC2HEX(HEX2DEC(SUBSTITUTE(H17,"0x",""))+(G17+G18+G19+G20)/8)))</f>
        <v>N/A</v>
      </c>
      <c r="I21" s="7" t="s">
        <v>392</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IF(G21&gt;0,CONCATENATE("CSME_HW_FW_Config_fusess[",G21-1+G20+G19+G18+G17+G16+G15+G14+G13,":",G20+G19+G18+G17+G16+G15+G14+G13,"]"), ""), "")</f>
        <v/>
      </c>
      <c r="M21" s="184"/>
      <c r="N21" s="166"/>
      <c r="O21" s="170"/>
    </row>
    <row r="22" spans="1:15" x14ac:dyDescent="0.35">
      <c r="A22" s="180"/>
      <c r="B22" s="95" t="s">
        <v>260</v>
      </c>
      <c r="C22" s="95" t="s">
        <v>402</v>
      </c>
      <c r="D22" s="183"/>
      <c r="E22" s="149"/>
      <c r="F22" s="89" t="s">
        <v>28</v>
      </c>
      <c r="G22" s="51">
        <f ca="1">IF($C22="No Param",32,VLOOKUP($C22,INDIRECT(Config!$B$1),HLOOKUP(D$1,INDIRECT(Config!$E$1),2,FALSE),FALSE)*32)</f>
        <v>0</v>
      </c>
      <c r="H22" s="17" t="str">
        <f ca="1">IF(G22=0, "N/A", CONCATENATE("0x",DEC2HEX(HEX2DEC(SUBSTITUTE(H17,"0x",""))+(G17+G18+G19+G20+G21)/8)))</f>
        <v>N/A</v>
      </c>
      <c r="I22" s="7" t="s">
        <v>393</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IF(G22&gt;0,CONCATENATE("CSME_HW_FW_Config_fusess[",G22-1+G21+G20+G19+G18+G17+G16+G15+G14+G13,":",G21+G20+G19+G18+G17+G16+G15+G14+G13,"]"), ""), "")</f>
        <v/>
      </c>
      <c r="M22" s="184"/>
      <c r="N22" s="166"/>
      <c r="O22" s="170"/>
    </row>
    <row r="23" spans="1:15" x14ac:dyDescent="0.35">
      <c r="A23" s="180"/>
      <c r="B23" s="46" t="s">
        <v>40</v>
      </c>
      <c r="C23" s="49" t="s">
        <v>626</v>
      </c>
      <c r="D23" s="183"/>
      <c r="E23" s="149"/>
      <c r="F23" s="89" t="s">
        <v>28</v>
      </c>
      <c r="G23" s="51">
        <f ca="1">IF($C23="No Param",32,VLOOKUP($C23,INDIRECT(Config!$B$1),HLOOKUP(D$1,INDIRECT(Config!$E$1),2,FALSE),FALSE)*32)</f>
        <v>32</v>
      </c>
      <c r="H23" s="17" t="s">
        <v>41</v>
      </c>
      <c r="I23" s="17" t="s">
        <v>42</v>
      </c>
      <c r="J23" s="17" t="str">
        <f>CONCATENATE("0x", DEC2HEX(
 _xlfn.BITLSHIFT(1, Group1!C101)*Group1!G101*Group1!M101
+_xlfn.BITLSHIFT(1, Group1!C102)*Group1!G102*Group1!M102
+_xlfn.BITLSHIFT(1, Group1!C103)*Group1!G103*Group1!M103
+_xlfn.BITLSHIFT(1, Group1!C104)*Group1!G104*Group1!M104, 8))</f>
        <v>0x00000000</v>
      </c>
      <c r="K23" s="17" t="str">
        <f>CONCATENATE("0x", DEC2HEX(
 _xlfn.BITLSHIFT(1, Group1!C101)*Group1!H101*Group1!M101
+_xlfn.BITLSHIFT(1, Group1!C102)*Group1!H102*Group1!M102
+_xlfn.BITLSHIFT(1, Group1!C103)*Group1!H103*Group1!M103
+_xlfn.BITLSHIFT(1, Group1!C104)*Group1!H104*Group1!M104, 8))</f>
        <v>0x0A000000</v>
      </c>
      <c r="L23" s="17" t="str">
        <f ca="1">IF(VLOOKUP("EXT_FUSE_PULL_SUPP", INDIRECT(Config!$B$1),HLOOKUP(D$1,INDIRECT(Config!$E$1),2,FALSE),FALSE)=1, IF(G23&gt;0,CONCATENATE("CSME_HW_FW_INT_CHK[",G23-1,":0]"),""), "")</f>
        <v/>
      </c>
      <c r="M23" s="184"/>
      <c r="N23" s="166"/>
      <c r="O23" s="170"/>
    </row>
    <row r="24" spans="1:15" x14ac:dyDescent="0.35">
      <c r="A24" s="179" t="s">
        <v>43</v>
      </c>
      <c r="B24" s="46" t="s">
        <v>44</v>
      </c>
      <c r="C24" s="46" t="s">
        <v>627</v>
      </c>
      <c r="D24" s="183" t="s">
        <v>45</v>
      </c>
      <c r="E24" s="149"/>
      <c r="F24" s="89" t="s">
        <v>46</v>
      </c>
      <c r="G24" s="51">
        <f ca="1">IF($C24="No Param",32,VLOOKUP($C24,INDIRECT(Config!$B$1),HLOOKUP(D$1,INDIRECT(Config!$E$1),2,FALSE),FALSE)*32)</f>
        <v>32</v>
      </c>
      <c r="H24" s="17" t="str">
        <f ca="1">IF(G24=0,"N/A","0x8000")</f>
        <v>0x8000</v>
      </c>
      <c r="I24" s="17" t="s">
        <v>47</v>
      </c>
      <c r="J24" s="17" t="s">
        <v>399</v>
      </c>
      <c r="K24" s="17" t="s">
        <v>399</v>
      </c>
      <c r="L24" s="17"/>
      <c r="M24" s="184" t="s">
        <v>382</v>
      </c>
      <c r="N24" s="166"/>
      <c r="O24" s="170">
        <f ca="1">(G24+G25)</f>
        <v>64</v>
      </c>
    </row>
    <row r="25" spans="1:15" ht="15" thickBot="1" x14ac:dyDescent="0.4">
      <c r="A25" s="185"/>
      <c r="B25" s="96" t="s">
        <v>48</v>
      </c>
      <c r="C25" s="96" t="s">
        <v>628</v>
      </c>
      <c r="D25" s="186"/>
      <c r="E25" s="150"/>
      <c r="F25" s="98" t="s">
        <v>46</v>
      </c>
      <c r="G25" s="97">
        <f ca="1">IF($C25="No Param",32,VLOOKUP($C25,INDIRECT(Config!$B$1),HLOOKUP(D$1,INDIRECT(Config!$E$1),2,FALSE),FALSE)*32)</f>
        <v>32</v>
      </c>
      <c r="H25" s="33" t="str">
        <f ca="1">IF(G25=0,"N/A","0x8004")</f>
        <v>0x8004</v>
      </c>
      <c r="I25" s="33" t="s">
        <v>49</v>
      </c>
      <c r="J25" s="33" t="s">
        <v>399</v>
      </c>
      <c r="K25" s="33" t="s">
        <v>399</v>
      </c>
      <c r="L25" s="33"/>
      <c r="M25" s="167"/>
      <c r="N25" s="167"/>
      <c r="O25" s="171"/>
    </row>
    <row r="26" spans="1:15" ht="15" thickBot="1" x14ac:dyDescent="0.4">
      <c r="A26" s="151"/>
    </row>
    <row r="27" spans="1:15" x14ac:dyDescent="0.35">
      <c r="A27" s="182" t="s">
        <v>51</v>
      </c>
      <c r="B27" s="105" t="s">
        <v>631</v>
      </c>
      <c r="C27" s="105" t="s">
        <v>631</v>
      </c>
      <c r="D27" s="105"/>
      <c r="E27" s="134"/>
      <c r="F27" s="115" t="s">
        <v>52</v>
      </c>
      <c r="G27" s="116">
        <f ca="1">IF($C27="No Param",32,VLOOKUP($C27,INDIRECT(Config!$B$1),HLOOKUP(D$1,INDIRECT(Config!$E$1),2,FALSE),FALSE))</f>
        <v>512</v>
      </c>
      <c r="H27" s="107" t="s">
        <v>53</v>
      </c>
      <c r="I27" s="139" t="s">
        <v>637</v>
      </c>
      <c r="J27" s="139" t="s">
        <v>399</v>
      </c>
      <c r="K27" s="139" t="s">
        <v>399</v>
      </c>
      <c r="L27" s="139"/>
      <c r="M27" s="140" t="s">
        <v>50</v>
      </c>
      <c r="N27" s="168" t="s">
        <v>50</v>
      </c>
      <c r="O27" s="169">
        <f ca="1">SUM(G27:G41)</f>
        <v>5184</v>
      </c>
    </row>
    <row r="28" spans="1:15" ht="15" customHeight="1" x14ac:dyDescent="0.35">
      <c r="A28" s="183"/>
      <c r="B28" s="46" t="s">
        <v>54</v>
      </c>
      <c r="C28" s="46" t="s">
        <v>261</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399</v>
      </c>
      <c r="K28" s="17" t="s">
        <v>399</v>
      </c>
      <c r="L28" s="84" t="str">
        <f ca="1">IF(VLOOKUP("EXT_FUSE_PULL_SUPP", INDIRECT(Config!$B$1),HLOOKUP(D$1,INDIRECT(Config!$E$1),2,FALSE),FALSE)=1, IF(G28&gt;0,CONCATENATE("GSK_OEM_IFP_CONFIG[",G28-1,":0]"),""), "")</f>
        <v/>
      </c>
      <c r="M28" s="184" t="s">
        <v>381</v>
      </c>
      <c r="N28" s="166"/>
      <c r="O28" s="170"/>
    </row>
    <row r="29" spans="1:15" x14ac:dyDescent="0.35">
      <c r="A29" s="183"/>
      <c r="B29" s="46" t="s">
        <v>56</v>
      </c>
      <c r="C29" s="46" t="s">
        <v>261</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399</v>
      </c>
      <c r="K29" s="17" t="s">
        <v>399</v>
      </c>
      <c r="L29" s="84" t="str">
        <f ca="1">IF(VLOOKUP("EXT_FUSE_PULL_SUPP", INDIRECT(Config!$B$1),HLOOKUP(D$1,INDIRECT(Config!$E$1),2,FALSE),FALSE)=1, IF(G29&gt;0,CONCATENATE("GSK_TRC_DIS[",G29-1,":0]"),""), "")</f>
        <v/>
      </c>
      <c r="M29" s="184"/>
      <c r="N29" s="166"/>
      <c r="O29" s="170"/>
    </row>
    <row r="30" spans="1:15" x14ac:dyDescent="0.35">
      <c r="A30" s="183"/>
      <c r="B30" s="46" t="s">
        <v>371</v>
      </c>
      <c r="C30" s="17" t="s">
        <v>372</v>
      </c>
      <c r="D30" s="46" t="s">
        <v>564</v>
      </c>
      <c r="E30" s="40"/>
      <c r="F30" s="32" t="s">
        <v>52</v>
      </c>
      <c r="G30" s="51">
        <f ca="1">VLOOKUP("OEM_SECRET_KEY_FUSES_LIMIT", INDIRECT(Config!$B$1), HLOOKUP(D$1, INDIRECT(Config!$E$1), 2, FALSE),FALSE)*32</f>
        <v>0</v>
      </c>
      <c r="H30" s="17" t="s">
        <v>417</v>
      </c>
      <c r="I30" s="17" t="str">
        <f>CONCATENATE("0x",DEC2HEX(HEX2DEC(SUBSTITUTE(I27,"0x",""))+HEX2DEC(SUBSTITUTE(H30,"0x",""))))</f>
        <v>0xF00B0880</v>
      </c>
      <c r="J30" s="17" t="s">
        <v>399</v>
      </c>
      <c r="K30" s="17" t="s">
        <v>399</v>
      </c>
      <c r="L30" s="84" t="str">
        <f ca="1">IF(VLOOKUP("EXT_FUSE_PULL_SUPP", INDIRECT(Config!$B$1),HLOOKUP(D$1,INDIRECT(Config!$E$1),2,FALSE),FALSE)=1, IF(G30&gt;0,CONCATENATE("GSK_OEM_SECRET_KEYS_DWn[",G30-1,":0]"),""), "")</f>
        <v/>
      </c>
      <c r="M30" s="184"/>
      <c r="N30" s="166"/>
      <c r="O30" s="170"/>
    </row>
    <row r="31" spans="1:15" x14ac:dyDescent="0.35">
      <c r="A31" s="183"/>
      <c r="B31" s="109" t="s">
        <v>630</v>
      </c>
      <c r="C31" s="109" t="s">
        <v>685</v>
      </c>
      <c r="D31" s="133"/>
      <c r="E31" s="135" t="str">
        <f>CONCATENATE("This is a region for ",$D$1," FW IFPs")</f>
        <v>This is a region for MTL-SOC-M CSME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2048</v>
      </c>
      <c r="H31" s="110" t="s">
        <v>58</v>
      </c>
      <c r="I31" s="2" t="str">
        <f>CONCATENATE("0x",DEC2HEX(HEX2DEC(SUBSTITUTE(I27,"0x",""))+HEX2DEC(SUBSTITUTE(H31,"0x",""))))</f>
        <v>0xF00B0900</v>
      </c>
      <c r="J31" s="141" t="s">
        <v>399</v>
      </c>
      <c r="K31" s="141" t="s">
        <v>399</v>
      </c>
      <c r="L31" s="142" t="str">
        <f ca="1">IF(VLOOKUP("EXT_FUSE_PULL_SUPP", INDIRECT(Config!$B$1),HLOOKUP(D$1,INDIRECT(Config!$E$1),2,FALSE),FALSE)=1, IF(G31&gt;0,CONCATENATE("CSME_HW_IFP_FUSES[",G31-1,":0]"),""), "")</f>
        <v/>
      </c>
      <c r="M31" s="141" t="s">
        <v>50</v>
      </c>
      <c r="N31" s="166"/>
      <c r="O31" s="170"/>
    </row>
    <row r="32" spans="1:15" x14ac:dyDescent="0.35">
      <c r="A32" s="183"/>
      <c r="B32" s="109" t="s">
        <v>632</v>
      </c>
      <c r="C32" s="109" t="s">
        <v>632</v>
      </c>
      <c r="D32" s="109"/>
      <c r="E32" s="136"/>
      <c r="F32" s="117" t="s">
        <v>415</v>
      </c>
      <c r="G32" s="106">
        <f ca="1">IF($C32="No Param",32,VLOOKUP($C32,INDIRECT(Config!$B$1),HLOOKUP(D$1,INDIRECT(Config!$E$1),2,FALSE),FALSE))</f>
        <v>512</v>
      </c>
      <c r="H32" s="110" t="s">
        <v>425</v>
      </c>
      <c r="I32" s="2" t="str">
        <f>CONCATENATE("0x",DEC2HEX(HEX2DEC(SUBSTITUTE(I27,"0x",""))+HEX2DEC(SUBSTITUTE(H32,"0x",""))))</f>
        <v>0xF00B0A00</v>
      </c>
      <c r="J32" s="141" t="s">
        <v>399</v>
      </c>
      <c r="K32" s="141" t="s">
        <v>399</v>
      </c>
      <c r="L32" s="141"/>
      <c r="M32" s="141" t="s">
        <v>50</v>
      </c>
      <c r="N32" s="166"/>
      <c r="O32" s="170"/>
    </row>
    <row r="33" spans="1:15" ht="15" customHeight="1" x14ac:dyDescent="0.35">
      <c r="A33" s="183"/>
      <c r="B33" s="46" t="s">
        <v>366</v>
      </c>
      <c r="C33" s="17" t="s">
        <v>367</v>
      </c>
      <c r="D33" s="46" t="s">
        <v>18</v>
      </c>
      <c r="E33" s="40"/>
      <c r="F33" s="32" t="s">
        <v>415</v>
      </c>
      <c r="G33" s="51">
        <f ca="1">IF(VLOOKUP("PARAM_INT_IFP_TRIPLE_RDD_DIS", INDIRECT(Config!$B$1), HLOOKUP(D$1, INDIRECT(Config!$E$1), 2, FALSE),FALSE)=0, VLOOKUP("TRC_PRESENT", INDIRECT(Config!$B$1), HLOOKUP(D$1, INDIRECT(Config!$E$1), 2, FALSE),FALSE)*32, 0)</f>
        <v>0</v>
      </c>
      <c r="H33" s="17" t="s">
        <v>420</v>
      </c>
      <c r="I33" s="17" t="str">
        <f>CONCATENATE("0x",DEC2HEX(HEX2DEC(SUBSTITUTE(I27,"0x",""))+HEX2DEC(SUBSTITUTE(H33,"0x",""))))</f>
        <v>0xF00B0A40</v>
      </c>
      <c r="J33" s="17" t="s">
        <v>399</v>
      </c>
      <c r="K33" s="17" t="s">
        <v>399</v>
      </c>
      <c r="L33" s="84" t="str">
        <f ca="1">IF(VLOOKUP("EXT_FUSE_PULL_SUPP", INDIRECT(Config!$B$1),HLOOKUP(D$1,INDIRECT(Config!$E$1),2,FALSE),FALSE)=1, IF(G33&gt;0,CONCATENATE("GSK_OEM_IFP_CONFIG_COPY1[",G33-1,":0]"),""), "")</f>
        <v/>
      </c>
      <c r="M33" s="184" t="s">
        <v>381</v>
      </c>
      <c r="N33" s="166"/>
      <c r="O33" s="170"/>
    </row>
    <row r="34" spans="1:15" x14ac:dyDescent="0.35">
      <c r="A34" s="183"/>
      <c r="B34" s="46" t="s">
        <v>413</v>
      </c>
      <c r="C34" s="17" t="s">
        <v>367</v>
      </c>
      <c r="D34" s="46" t="s">
        <v>18</v>
      </c>
      <c r="E34" s="40"/>
      <c r="F34" s="32" t="s">
        <v>415</v>
      </c>
      <c r="G34" s="51">
        <f ca="1">IF(VLOOKUP("PARAM_INT_IFP_TRIPLE_RDD_DIS", INDIRECT(Config!$B$1), HLOOKUP(D$1, INDIRECT(Config!$E$1), 2, FALSE),FALSE)=0, VLOOKUP("TRC_PRESENT", INDIRECT(Config!$B$1), HLOOKUP(D$1, INDIRECT(Config!$E$1), 2, FALSE),FALSE)*32, 0)</f>
        <v>0</v>
      </c>
      <c r="H34" s="17" t="s">
        <v>423</v>
      </c>
      <c r="I34" s="17" t="str">
        <f>CONCATENATE("0x",DEC2HEX(HEX2DEC(SUBSTITUTE(I27,"0x",""))+HEX2DEC(SUBSTITUTE(H34,"0x",""))))</f>
        <v>0xF00B0A44</v>
      </c>
      <c r="J34" s="17" t="s">
        <v>399</v>
      </c>
      <c r="K34" s="17" t="s">
        <v>399</v>
      </c>
      <c r="L34" s="84" t="str">
        <f ca="1">IF(VLOOKUP("EXT_FUSE_PULL_SUPP", INDIRECT(Config!$B$1),HLOOKUP(D$1,INDIRECT(Config!$E$1),2,FALSE),FALSE)=1, IF(G34&gt;0,CONCATENATE("GSK_TRC_DIS_COPY1[",G34-1,":0]"),""), "")</f>
        <v/>
      </c>
      <c r="M34" s="184"/>
      <c r="N34" s="166"/>
      <c r="O34" s="170"/>
    </row>
    <row r="35" spans="1:15" x14ac:dyDescent="0.35">
      <c r="A35" s="183"/>
      <c r="B35" s="46" t="s">
        <v>374</v>
      </c>
      <c r="C35" s="17" t="s">
        <v>375</v>
      </c>
      <c r="D35" s="46" t="s">
        <v>564</v>
      </c>
      <c r="E35" s="40"/>
      <c r="F35" s="32" t="s">
        <v>415</v>
      </c>
      <c r="G35" s="51">
        <f ca="1">IF(VLOOKUP("PARAM_INT_IFP_TRIPLE_RDD_DIS", INDIRECT(Config!$B$1), HLOOKUP(D$1, INDIRECT(Config!$E$1), 2, FALSE),FALSE)=0, VLOOKUP("OEM_SECRET_KEY_FUSES_LIMIT", INDIRECT(Config!$B$1), HLOOKUP(D$1, INDIRECT(Config!$E$1), 2, FALSE),FALSE)*32, 0)</f>
        <v>0</v>
      </c>
      <c r="H35" s="17" t="s">
        <v>418</v>
      </c>
      <c r="I35" s="17" t="str">
        <f>CONCATENATE("0x",DEC2HEX(HEX2DEC(SUBSTITUTE(I27,"0x",""))+HEX2DEC(SUBSTITUTE(H35,"0x",""))))</f>
        <v>0xF00B0A80</v>
      </c>
      <c r="J35" s="17" t="s">
        <v>399</v>
      </c>
      <c r="K35" s="17" t="s">
        <v>399</v>
      </c>
      <c r="L35" s="84" t="str">
        <f ca="1">IF(VLOOKUP("EXT_FUSE_PULL_SUPP", INDIRECT(Config!$B$1),HLOOKUP(D$1,INDIRECT(Config!$E$1),2,FALSE),FALSE)=1, IF(G35&gt;0,CONCATENATE("GSK_OEM_SECRET_KEYS_DWn_COPY1[",G35-1,":0]"),""), "")</f>
        <v/>
      </c>
      <c r="M35" s="184"/>
      <c r="N35" s="166"/>
      <c r="O35" s="170"/>
    </row>
    <row r="36" spans="1:15" x14ac:dyDescent="0.35">
      <c r="A36" s="183"/>
      <c r="B36" s="109" t="s">
        <v>633</v>
      </c>
      <c r="C36" s="109" t="s">
        <v>685</v>
      </c>
      <c r="D36" s="133"/>
      <c r="E36" s="135" t="str">
        <f>IF($D$1="MTL-SOC-M CSME", "This is a region for MTL-SOC-M GSC FW IFPs", CONCATENATE("This is a region for ",$D$1," FW IFPs"))</f>
        <v>This is a region for MTL-SOC-M GSC FW IFPs</v>
      </c>
      <c r="F36" s="117" t="s">
        <v>415</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2048</v>
      </c>
      <c r="H36" s="110" t="s">
        <v>424</v>
      </c>
      <c r="I36" s="2" t="str">
        <f>CONCATENATE("0x",DEC2HEX(HEX2DEC(SUBSTITUTE(I27,"0x",""))+HEX2DEC(SUBSTITUTE(H36,"0x",""))))</f>
        <v>0xF00B0B00</v>
      </c>
      <c r="J36" s="141" t="s">
        <v>399</v>
      </c>
      <c r="K36" s="141" t="s">
        <v>399</v>
      </c>
      <c r="L36" s="142" t="str">
        <f ca="1">IF(VLOOKUP("EXT_FUSE_PULL_SUPP", INDIRECT(Config!$B$1),HLOOKUP(D$1,INDIRECT(Config!$E$1),2,FALSE),FALSE)=1, IF(G36&gt;0,CONCATENATE("CSME_HW_IFP_FUSES_COPY1[",G36-1,":0]"),""), "")</f>
        <v/>
      </c>
      <c r="M36" s="141" t="s">
        <v>50</v>
      </c>
      <c r="N36" s="166"/>
      <c r="O36" s="170"/>
    </row>
    <row r="37" spans="1:15" x14ac:dyDescent="0.35">
      <c r="A37" s="183"/>
      <c r="B37" s="109" t="s">
        <v>634</v>
      </c>
      <c r="C37" s="109" t="s">
        <v>634</v>
      </c>
      <c r="D37" s="109"/>
      <c r="E37" s="136"/>
      <c r="F37" s="117" t="s">
        <v>416</v>
      </c>
      <c r="G37" s="106">
        <f ca="1">IF($C37="No Param",32,VLOOKUP($C37,INDIRECT(Config!$B$1),HLOOKUP(D$1,INDIRECT(Config!$E$1),2,FALSE),FALSE))</f>
        <v>0</v>
      </c>
      <c r="H37" s="110" t="s">
        <v>426</v>
      </c>
      <c r="I37" s="2" t="str">
        <f>CONCATENATE("0x",DEC2HEX(HEX2DEC(SUBSTITUTE(I27,"0x",""))+HEX2DEC(SUBSTITUTE(H37,"0x",""))))</f>
        <v>0xF00B0C00</v>
      </c>
      <c r="J37" s="141" t="s">
        <v>399</v>
      </c>
      <c r="K37" s="141" t="s">
        <v>399</v>
      </c>
      <c r="L37" s="141"/>
      <c r="M37" s="141" t="s">
        <v>50</v>
      </c>
      <c r="N37" s="166"/>
      <c r="O37" s="170"/>
    </row>
    <row r="38" spans="1:15" ht="15" customHeight="1" x14ac:dyDescent="0.35">
      <c r="A38" s="183"/>
      <c r="B38" s="46" t="s">
        <v>369</v>
      </c>
      <c r="C38" s="17" t="s">
        <v>367</v>
      </c>
      <c r="D38" s="46" t="s">
        <v>18</v>
      </c>
      <c r="E38" s="40"/>
      <c r="F38" s="32" t="s">
        <v>416</v>
      </c>
      <c r="G38" s="51">
        <f ca="1">IF(VLOOKUP("PARAM_INT_IFP_TRIPLE_RDD_DIS", INDIRECT(Config!$B$1), HLOOKUP(D$1, INDIRECT(Config!$E$1), 2, FALSE),FALSE)=0, VLOOKUP("TRC_PRESENT", INDIRECT(Config!$B$1), HLOOKUP(D$1, INDIRECT(Config!$E$1), 2, FALSE),FALSE)*32, 0)</f>
        <v>0</v>
      </c>
      <c r="H38" s="17" t="s">
        <v>422</v>
      </c>
      <c r="I38" s="17" t="str">
        <f>CONCATENATE("0x",DEC2HEX(HEX2DEC(SUBSTITUTE(I27,"0x",""))+HEX2DEC(SUBSTITUTE(H38,"0x",""))))</f>
        <v>0xF00B0C40</v>
      </c>
      <c r="J38" s="17" t="s">
        <v>399</v>
      </c>
      <c r="K38" s="17" t="s">
        <v>399</v>
      </c>
      <c r="L38" s="84" t="str">
        <f ca="1">IF(VLOOKUP("EXT_FUSE_PULL_SUPP", INDIRECT(Config!$B$1),HLOOKUP(D$1,INDIRECT(Config!$E$1),2,FALSE),FALSE)=1, IF(G38&gt;0,CONCATENATE("GSK_OEM_IFP_CONFIG_COPY2[",G38-1,":0]"),""), "")</f>
        <v/>
      </c>
      <c r="M38" s="184" t="s">
        <v>381</v>
      </c>
      <c r="N38" s="166"/>
      <c r="O38" s="170"/>
    </row>
    <row r="39" spans="1:15" x14ac:dyDescent="0.35">
      <c r="A39" s="183"/>
      <c r="B39" s="46" t="s">
        <v>414</v>
      </c>
      <c r="C39" s="17" t="s">
        <v>367</v>
      </c>
      <c r="D39" s="46" t="s">
        <v>18</v>
      </c>
      <c r="E39" s="40"/>
      <c r="F39" s="32" t="s">
        <v>416</v>
      </c>
      <c r="G39" s="51">
        <f ca="1">IF(VLOOKUP("PARAM_INT_IFP_TRIPLE_RDD_DIS", INDIRECT(Config!$B$1), HLOOKUP(D$1, INDIRECT(Config!$E$1), 2, FALSE),FALSE)=0, VLOOKUP("TRC_PRESENT", INDIRECT(Config!$B$1), HLOOKUP(D$1, INDIRECT(Config!$E$1), 2, FALSE),FALSE)*32, 0)</f>
        <v>0</v>
      </c>
      <c r="H39" s="17" t="s">
        <v>421</v>
      </c>
      <c r="I39" s="17" t="str">
        <f>CONCATENATE("0x",DEC2HEX(HEX2DEC(SUBSTITUTE(I27,"0x",""))+HEX2DEC(SUBSTITUTE(H39,"0x",""))))</f>
        <v>0xF00B0C44</v>
      </c>
      <c r="J39" s="17" t="s">
        <v>399</v>
      </c>
      <c r="K39" s="17" t="s">
        <v>399</v>
      </c>
      <c r="L39" s="84" t="str">
        <f ca="1">IF(VLOOKUP("EXT_FUSE_PULL_SUPP", INDIRECT(Config!$B$1),HLOOKUP(D$1,INDIRECT(Config!$E$1),2,FALSE),FALSE)=1, IF(G39&gt;0,CONCATENATE("GSK_TRC_DIS_COPY2[",G39-1,":0]"),""), "")</f>
        <v/>
      </c>
      <c r="M39" s="184"/>
      <c r="N39" s="166"/>
      <c r="O39" s="170"/>
    </row>
    <row r="40" spans="1:15" x14ac:dyDescent="0.35">
      <c r="A40" s="183"/>
      <c r="B40" s="46" t="s">
        <v>377</v>
      </c>
      <c r="C40" s="17" t="s">
        <v>375</v>
      </c>
      <c r="D40" s="46" t="s">
        <v>564</v>
      </c>
      <c r="E40" s="40"/>
      <c r="F40" s="32" t="s">
        <v>416</v>
      </c>
      <c r="G40" s="51">
        <f ca="1">IF(VLOOKUP("PARAM_INT_IFP_TRIPLE_RDD_DIS", INDIRECT(Config!$B$1), HLOOKUP(D$1, INDIRECT(Config!$E$1), 2, FALSE),FALSE)=0, VLOOKUP("OEM_SECRET_KEY_FUSES_LIMIT", INDIRECT(Config!$B$1), HLOOKUP(D$1, INDIRECT(Config!$E$1), 2, FALSE),FALSE)*32, 0)</f>
        <v>0</v>
      </c>
      <c r="H40" s="17" t="s">
        <v>419</v>
      </c>
      <c r="I40" s="17" t="str">
        <f>CONCATENATE("0x",DEC2HEX(HEX2DEC(SUBSTITUTE(I27,"0x",""))+HEX2DEC(SUBSTITUTE(H40,"0x",""))))</f>
        <v>0xF00B0C80</v>
      </c>
      <c r="J40" s="17" t="s">
        <v>399</v>
      </c>
      <c r="K40" s="17" t="s">
        <v>399</v>
      </c>
      <c r="L40" s="84" t="str">
        <f ca="1">IF(VLOOKUP("EXT_FUSE_PULL_SUPP", INDIRECT(Config!$B$1),HLOOKUP(D$1,INDIRECT(Config!$E$1),2,FALSE),FALSE)=1, IF(G40&gt;0,CONCATENATE("GSK_OEM_SECRET_KEYS_DWn_COPY2[",G40-1,":0]"),""), "")</f>
        <v/>
      </c>
      <c r="M40" s="184"/>
      <c r="N40" s="166"/>
      <c r="O40" s="170"/>
    </row>
    <row r="41" spans="1:15" ht="15" thickBot="1" x14ac:dyDescent="0.4">
      <c r="A41" s="186"/>
      <c r="B41" s="112" t="s">
        <v>635</v>
      </c>
      <c r="C41" s="112" t="s">
        <v>685</v>
      </c>
      <c r="D41" s="112"/>
      <c r="E41" s="137"/>
      <c r="F41" s="118" t="s">
        <v>416</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427</v>
      </c>
      <c r="I41" s="143" t="str">
        <f>CONCATENATE("0x",DEC2HEX(HEX2DEC(SUBSTITUTE(I27,"0x",""))+HEX2DEC(SUBSTITUTE(H41,"0x",""))))</f>
        <v>0xF00B0D00</v>
      </c>
      <c r="J41" s="144" t="s">
        <v>399</v>
      </c>
      <c r="K41" s="143" t="s">
        <v>399</v>
      </c>
      <c r="L41" s="143" t="str">
        <f ca="1">IF(VLOOKUP("EXT_FUSE_PULL_SUPP", INDIRECT(Config!$B$1),HLOOKUP(D$1,INDIRECT(Config!$E$1),2,FALSE),FALSE)=1, IF(G41&gt;0,CONCATENATE("CSME_HW_IFP_FUSES_COPY2[",G41-1,":0]"),""), "")</f>
        <v/>
      </c>
      <c r="M41" s="144" t="s">
        <v>50</v>
      </c>
      <c r="N41" s="167"/>
      <c r="O41" s="171"/>
    </row>
    <row r="42" spans="1:15" ht="15" customHeight="1" x14ac:dyDescent="0.35"/>
    <row r="43" spans="1:15" ht="15" customHeight="1" x14ac:dyDescent="0.35"/>
    <row r="44" spans="1:15" ht="15" customHeight="1" x14ac:dyDescent="0.35"/>
    <row r="45" spans="1:15" ht="15" customHeight="1" x14ac:dyDescent="0.35"/>
  </sheetData>
  <mergeCells count="23">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A27:A41"/>
    <mergeCell ref="N27:N41"/>
    <mergeCell ref="O27:O41"/>
    <mergeCell ref="M28:M30"/>
    <mergeCell ref="M33:M35"/>
    <mergeCell ref="M38:M40"/>
  </mergeCells>
  <conditionalFormatting sqref="C5">
    <cfRule type="cellIs" dxfId="339" priority="89" operator="equal">
      <formula>0</formula>
    </cfRule>
  </conditionalFormatting>
  <conditionalFormatting sqref="J27">
    <cfRule type="cellIs" dxfId="338" priority="105" operator="equal">
      <formula>0</formula>
    </cfRule>
  </conditionalFormatting>
  <conditionalFormatting sqref="C3">
    <cfRule type="cellIs" dxfId="337" priority="91" operator="equal">
      <formula>0</formula>
    </cfRule>
  </conditionalFormatting>
  <conditionalFormatting sqref="C4">
    <cfRule type="cellIs" dxfId="336" priority="90" operator="equal">
      <formula>0</formula>
    </cfRule>
  </conditionalFormatting>
  <conditionalFormatting sqref="B3 J4 J12 D3:J3 G4:G25">
    <cfRule type="cellIs" dxfId="335" priority="102" operator="equal">
      <formula>0</formula>
    </cfRule>
  </conditionalFormatting>
  <conditionalFormatting sqref="B4 H4:I4 D4:F4">
    <cfRule type="cellIs" dxfId="334" priority="101" operator="equal">
      <formula>0</formula>
    </cfRule>
  </conditionalFormatting>
  <conditionalFormatting sqref="B5 I5 D5:F5">
    <cfRule type="cellIs" dxfId="333" priority="100" operator="equal">
      <formula>0</formula>
    </cfRule>
  </conditionalFormatting>
  <conditionalFormatting sqref="B7 I7 F7">
    <cfRule type="cellIs" dxfId="332" priority="99" operator="equal">
      <formula>0</formula>
    </cfRule>
  </conditionalFormatting>
  <conditionalFormatting sqref="B8 H8:I8 D8:F8">
    <cfRule type="cellIs" priority="98" operator="equal">
      <formula>0</formula>
    </cfRule>
  </conditionalFormatting>
  <conditionalFormatting sqref="B9 H9:I9 D9:F9">
    <cfRule type="cellIs" dxfId="331" priority="97" operator="equal">
      <formula>0</formula>
    </cfRule>
  </conditionalFormatting>
  <conditionalFormatting sqref="B10 I10 D10:F10">
    <cfRule type="cellIs" dxfId="330" priority="95" operator="equal">
      <formula>0</formula>
    </cfRule>
    <cfRule type="cellIs" dxfId="329" priority="96" operator="equal">
      <formula>0</formula>
    </cfRule>
  </conditionalFormatting>
  <conditionalFormatting sqref="K12 K3:L4">
    <cfRule type="cellIs" dxfId="328" priority="94" operator="equal">
      <formula>0</formula>
    </cfRule>
  </conditionalFormatting>
  <conditionalFormatting sqref="B6 I6 D6:F6">
    <cfRule type="cellIs" dxfId="327" priority="93" operator="equal">
      <formula>0</formula>
    </cfRule>
  </conditionalFormatting>
  <conditionalFormatting sqref="D7:E7">
    <cfRule type="cellIs" dxfId="326" priority="92" operator="equal">
      <formula>0</formula>
    </cfRule>
  </conditionalFormatting>
  <conditionalFormatting sqref="C7">
    <cfRule type="cellIs" dxfId="325" priority="88" operator="equal">
      <formula>0</formula>
    </cfRule>
  </conditionalFormatting>
  <conditionalFormatting sqref="C8">
    <cfRule type="cellIs" priority="87" operator="equal">
      <formula>0</formula>
    </cfRule>
  </conditionalFormatting>
  <conditionalFormatting sqref="C9">
    <cfRule type="cellIs" dxfId="324" priority="86" operator="equal">
      <formula>0</formula>
    </cfRule>
  </conditionalFormatting>
  <conditionalFormatting sqref="C10">
    <cfRule type="cellIs" dxfId="323" priority="84" operator="equal">
      <formula>0</formula>
    </cfRule>
    <cfRule type="cellIs" dxfId="322" priority="85" operator="equal">
      <formula>0</formula>
    </cfRule>
  </conditionalFormatting>
  <conditionalFormatting sqref="C6">
    <cfRule type="cellIs" dxfId="321" priority="83" operator="equal">
      <formula>0</formula>
    </cfRule>
  </conditionalFormatting>
  <conditionalFormatting sqref="J5">
    <cfRule type="cellIs" dxfId="320" priority="71" operator="equal">
      <formula>0</formula>
    </cfRule>
  </conditionalFormatting>
  <conditionalFormatting sqref="K5">
    <cfRule type="cellIs" dxfId="319" priority="70" operator="equal">
      <formula>0</formula>
    </cfRule>
  </conditionalFormatting>
  <conditionalFormatting sqref="J6">
    <cfRule type="cellIs" dxfId="318" priority="69" operator="equal">
      <formula>0</formula>
    </cfRule>
  </conditionalFormatting>
  <conditionalFormatting sqref="K6">
    <cfRule type="cellIs" dxfId="317" priority="68" operator="equal">
      <formula>0</formula>
    </cfRule>
  </conditionalFormatting>
  <conditionalFormatting sqref="J9">
    <cfRule type="cellIs" dxfId="316" priority="67" operator="equal">
      <formula>0</formula>
    </cfRule>
  </conditionalFormatting>
  <conditionalFormatting sqref="K9">
    <cfRule type="cellIs" dxfId="315" priority="66" operator="equal">
      <formula>0</formula>
    </cfRule>
  </conditionalFormatting>
  <conditionalFormatting sqref="J10">
    <cfRule type="cellIs" dxfId="314" priority="65" operator="equal">
      <formula>0</formula>
    </cfRule>
  </conditionalFormatting>
  <conditionalFormatting sqref="K10">
    <cfRule type="cellIs" dxfId="313" priority="64" operator="equal">
      <formula>0</formula>
    </cfRule>
  </conditionalFormatting>
  <conditionalFormatting sqref="J11">
    <cfRule type="cellIs" dxfId="312" priority="63" operator="equal">
      <formula>0</formula>
    </cfRule>
  </conditionalFormatting>
  <conditionalFormatting sqref="K11">
    <cfRule type="cellIs" dxfId="311" priority="62" operator="equal">
      <formula>0</formula>
    </cfRule>
  </conditionalFormatting>
  <conditionalFormatting sqref="J7">
    <cfRule type="cellIs" dxfId="310" priority="61" operator="equal">
      <formula>0</formula>
    </cfRule>
  </conditionalFormatting>
  <conditionalFormatting sqref="K7">
    <cfRule type="cellIs" dxfId="309" priority="60" operator="equal">
      <formula>0</formula>
    </cfRule>
  </conditionalFormatting>
  <conditionalFormatting sqref="J8">
    <cfRule type="cellIs" dxfId="308" priority="59" operator="equal">
      <formula>0</formula>
    </cfRule>
  </conditionalFormatting>
  <conditionalFormatting sqref="K8">
    <cfRule type="cellIs" dxfId="307" priority="58" operator="equal">
      <formula>0</formula>
    </cfRule>
  </conditionalFormatting>
  <conditionalFormatting sqref="H5">
    <cfRule type="cellIs" dxfId="306" priority="57" operator="equal">
      <formula>0</formula>
    </cfRule>
  </conditionalFormatting>
  <conditionalFormatting sqref="H6">
    <cfRule type="cellIs" dxfId="305" priority="56" operator="equal">
      <formula>0</formula>
    </cfRule>
  </conditionalFormatting>
  <conditionalFormatting sqref="H7">
    <cfRule type="cellIs" dxfId="304" priority="55" operator="equal">
      <formula>0</formula>
    </cfRule>
  </conditionalFormatting>
  <conditionalFormatting sqref="H12">
    <cfRule type="cellIs" dxfId="303" priority="52" operator="equal">
      <formula>0</formula>
    </cfRule>
  </conditionalFormatting>
  <conditionalFormatting sqref="H10">
    <cfRule type="cellIs" dxfId="302" priority="54" operator="equal">
      <formula>0</formula>
    </cfRule>
  </conditionalFormatting>
  <conditionalFormatting sqref="H11">
    <cfRule type="cellIs" dxfId="301" priority="53" operator="equal">
      <formula>0</formula>
    </cfRule>
  </conditionalFormatting>
  <conditionalFormatting sqref="L5">
    <cfRule type="cellIs" dxfId="300" priority="51" operator="equal">
      <formula>0</formula>
    </cfRule>
  </conditionalFormatting>
  <conditionalFormatting sqref="L6">
    <cfRule type="cellIs" dxfId="299" priority="50" operator="equal">
      <formula>0</formula>
    </cfRule>
  </conditionalFormatting>
  <conditionalFormatting sqref="L7">
    <cfRule type="cellIs" dxfId="298" priority="49" operator="equal">
      <formula>0</formula>
    </cfRule>
  </conditionalFormatting>
  <conditionalFormatting sqref="L8:L9">
    <cfRule type="cellIs" dxfId="297" priority="48" operator="equal">
      <formula>0</formula>
    </cfRule>
  </conditionalFormatting>
  <conditionalFormatting sqref="L10">
    <cfRule type="cellIs" dxfId="296" priority="47" operator="equal">
      <formula>0</formula>
    </cfRule>
  </conditionalFormatting>
  <conditionalFormatting sqref="L11">
    <cfRule type="cellIs" dxfId="295" priority="46" operator="equal">
      <formula>0</formula>
    </cfRule>
  </conditionalFormatting>
  <conditionalFormatting sqref="L12">
    <cfRule type="cellIs" dxfId="294" priority="45" operator="equal">
      <formula>0</formula>
    </cfRule>
  </conditionalFormatting>
  <conditionalFormatting sqref="L31">
    <cfRule type="cellIs" dxfId="293" priority="44" operator="equal">
      <formula>0</formula>
    </cfRule>
  </conditionalFormatting>
  <conditionalFormatting sqref="L30">
    <cfRule type="cellIs" dxfId="292" priority="43" operator="equal">
      <formula>0</formula>
    </cfRule>
  </conditionalFormatting>
  <conditionalFormatting sqref="L29">
    <cfRule type="cellIs" dxfId="291" priority="42" operator="equal">
      <formula>0</formula>
    </cfRule>
  </conditionalFormatting>
  <conditionalFormatting sqref="L28">
    <cfRule type="cellIs" dxfId="290" priority="41" operator="equal">
      <formula>0</formula>
    </cfRule>
  </conditionalFormatting>
  <conditionalFormatting sqref="L36">
    <cfRule type="cellIs" dxfId="289" priority="40" operator="equal">
      <formula>0</formula>
    </cfRule>
  </conditionalFormatting>
  <conditionalFormatting sqref="L35">
    <cfRule type="cellIs" dxfId="288" priority="39" operator="equal">
      <formula>0</formula>
    </cfRule>
  </conditionalFormatting>
  <conditionalFormatting sqref="L34">
    <cfRule type="cellIs" dxfId="287" priority="38" operator="equal">
      <formula>0</formula>
    </cfRule>
  </conditionalFormatting>
  <conditionalFormatting sqref="L33">
    <cfRule type="cellIs" dxfId="286" priority="37" operator="equal">
      <formula>0</formula>
    </cfRule>
  </conditionalFormatting>
  <conditionalFormatting sqref="L41">
    <cfRule type="cellIs" dxfId="285" priority="36" operator="equal">
      <formula>0</formula>
    </cfRule>
  </conditionalFormatting>
  <conditionalFormatting sqref="L40">
    <cfRule type="cellIs" dxfId="284" priority="35" operator="equal">
      <formula>0</formula>
    </cfRule>
  </conditionalFormatting>
  <conditionalFormatting sqref="L39">
    <cfRule type="cellIs" dxfId="283" priority="34" operator="equal">
      <formula>0</formula>
    </cfRule>
  </conditionalFormatting>
  <conditionalFormatting sqref="L38">
    <cfRule type="cellIs" dxfId="282" priority="33" operator="equal">
      <formula>0</formula>
    </cfRule>
  </conditionalFormatting>
  <conditionalFormatting sqref="L13">
    <cfRule type="cellIs" dxfId="281" priority="32" operator="equal">
      <formula>0</formula>
    </cfRule>
  </conditionalFormatting>
  <conditionalFormatting sqref="L14">
    <cfRule type="cellIs" dxfId="280" priority="31" operator="equal">
      <formula>0</formula>
    </cfRule>
  </conditionalFormatting>
  <conditionalFormatting sqref="L15">
    <cfRule type="cellIs" dxfId="279" priority="30" operator="equal">
      <formula>0</formula>
    </cfRule>
  </conditionalFormatting>
  <conditionalFormatting sqref="L16">
    <cfRule type="cellIs" dxfId="278" priority="29" operator="equal">
      <formula>0</formula>
    </cfRule>
  </conditionalFormatting>
  <conditionalFormatting sqref="L17">
    <cfRule type="cellIs" dxfId="277" priority="28" operator="equal">
      <formula>0</formula>
    </cfRule>
  </conditionalFormatting>
  <conditionalFormatting sqref="L18">
    <cfRule type="cellIs" dxfId="276" priority="27" operator="equal">
      <formula>0</formula>
    </cfRule>
  </conditionalFormatting>
  <conditionalFormatting sqref="L19">
    <cfRule type="cellIs" dxfId="275" priority="26" operator="equal">
      <formula>0</formula>
    </cfRule>
  </conditionalFormatting>
  <conditionalFormatting sqref="L20">
    <cfRule type="cellIs" dxfId="274" priority="25" operator="equal">
      <formula>0</formula>
    </cfRule>
  </conditionalFormatting>
  <conditionalFormatting sqref="L21">
    <cfRule type="cellIs" dxfId="273" priority="24" operator="equal">
      <formula>0</formula>
    </cfRule>
  </conditionalFormatting>
  <conditionalFormatting sqref="L22">
    <cfRule type="cellIs" dxfId="272" priority="23" operator="equal">
      <formula>0</formula>
    </cfRule>
  </conditionalFormatting>
  <conditionalFormatting sqref="L23">
    <cfRule type="cellIs" dxfId="271" priority="22" operator="equal">
      <formula>0</formula>
    </cfRule>
  </conditionalFormatting>
  <conditionalFormatting sqref="J24">
    <cfRule type="cellIs" dxfId="270" priority="21" operator="equal">
      <formula>0</formula>
    </cfRule>
  </conditionalFormatting>
  <conditionalFormatting sqref="K24">
    <cfRule type="cellIs" dxfId="269" priority="20" operator="equal">
      <formula>0</formula>
    </cfRule>
  </conditionalFormatting>
  <conditionalFormatting sqref="J25">
    <cfRule type="cellIs" dxfId="268" priority="19" operator="equal">
      <formula>0</formula>
    </cfRule>
  </conditionalFormatting>
  <conditionalFormatting sqref="K25">
    <cfRule type="cellIs" dxfId="267" priority="18" operator="equal">
      <formula>0</formula>
    </cfRule>
  </conditionalFormatting>
  <conditionalFormatting sqref="G33">
    <cfRule type="cellIs" dxfId="266" priority="15" operator="equal">
      <formula>0</formula>
    </cfRule>
  </conditionalFormatting>
  <conditionalFormatting sqref="G35">
    <cfRule type="cellIs" dxfId="265" priority="14" operator="equal">
      <formula>0</formula>
    </cfRule>
  </conditionalFormatting>
  <conditionalFormatting sqref="G28">
    <cfRule type="cellIs" dxfId="264" priority="8" operator="equal">
      <formula>0</formula>
    </cfRule>
  </conditionalFormatting>
  <conditionalFormatting sqref="G31">
    <cfRule type="cellIs" dxfId="263" priority="12" operator="equal">
      <formula>0</formula>
    </cfRule>
  </conditionalFormatting>
  <conditionalFormatting sqref="G32">
    <cfRule type="cellIs" dxfId="262" priority="11" operator="equal">
      <formula>0</formula>
    </cfRule>
  </conditionalFormatting>
  <conditionalFormatting sqref="G27">
    <cfRule type="cellIs" dxfId="261" priority="13" operator="equal">
      <formula>0</formula>
    </cfRule>
  </conditionalFormatting>
  <conditionalFormatting sqref="G37">
    <cfRule type="cellIs" dxfId="260" priority="10" operator="equal">
      <formula>0</formula>
    </cfRule>
  </conditionalFormatting>
  <conditionalFormatting sqref="G34">
    <cfRule type="cellIs" dxfId="259" priority="9" operator="equal">
      <formula>0</formula>
    </cfRule>
  </conditionalFormatting>
  <conditionalFormatting sqref="G30">
    <cfRule type="cellIs" dxfId="258" priority="7" operator="equal">
      <formula>0</formula>
    </cfRule>
  </conditionalFormatting>
  <conditionalFormatting sqref="G29">
    <cfRule type="cellIs" dxfId="257" priority="6" operator="equal">
      <formula>0</formula>
    </cfRule>
  </conditionalFormatting>
  <conditionalFormatting sqref="G38">
    <cfRule type="cellIs" dxfId="256" priority="5" operator="equal">
      <formula>0</formula>
    </cfRule>
  </conditionalFormatting>
  <conditionalFormatting sqref="G40">
    <cfRule type="cellIs" dxfId="255" priority="4" operator="equal">
      <formula>0</formula>
    </cfRule>
  </conditionalFormatting>
  <conditionalFormatting sqref="G39">
    <cfRule type="cellIs" dxfId="254" priority="3" operator="equal">
      <formula>0</formula>
    </cfRule>
  </conditionalFormatting>
  <conditionalFormatting sqref="G36">
    <cfRule type="cellIs" dxfId="253" priority="2" operator="equal">
      <formula>0</formula>
    </cfRule>
  </conditionalFormatting>
  <conditionalFormatting sqref="G41">
    <cfRule type="cellIs" dxfId="252"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5"/>
  <sheetViews>
    <sheetView zoomScaleNormal="100" workbookViewId="0">
      <selection activeCell="J16" sqref="J16:K16"/>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412</v>
      </c>
      <c r="C1" s="29"/>
      <c r="D1" s="30" t="s">
        <v>623</v>
      </c>
      <c r="E1" s="30"/>
    </row>
    <row r="2" spans="1:15" ht="15" customHeight="1" thickBot="1" x14ac:dyDescent="0.4">
      <c r="A2" s="37" t="s">
        <v>0</v>
      </c>
      <c r="B2" s="43" t="s">
        <v>1</v>
      </c>
      <c r="C2" s="43" t="s">
        <v>383</v>
      </c>
      <c r="D2" s="43" t="s">
        <v>2</v>
      </c>
      <c r="E2" s="38" t="s">
        <v>436</v>
      </c>
      <c r="F2" s="86" t="s">
        <v>3</v>
      </c>
      <c r="G2" s="87" t="s">
        <v>4</v>
      </c>
      <c r="H2" s="87" t="s">
        <v>5</v>
      </c>
      <c r="I2" s="87" t="s">
        <v>6</v>
      </c>
      <c r="J2" s="87" t="s">
        <v>397</v>
      </c>
      <c r="K2" s="87" t="s">
        <v>398</v>
      </c>
      <c r="L2" s="87" t="s">
        <v>638</v>
      </c>
      <c r="M2" s="87" t="s">
        <v>7</v>
      </c>
      <c r="N2" s="87" t="s">
        <v>8</v>
      </c>
      <c r="O2" s="121" t="s">
        <v>640</v>
      </c>
    </row>
    <row r="3" spans="1:15" ht="15" customHeight="1" x14ac:dyDescent="0.35">
      <c r="A3" s="164" t="s">
        <v>9</v>
      </c>
      <c r="B3" s="58" t="s">
        <v>407</v>
      </c>
      <c r="C3" s="58" t="s">
        <v>407</v>
      </c>
      <c r="D3" s="58" t="s">
        <v>10</v>
      </c>
      <c r="E3" s="44"/>
      <c r="F3" s="138" t="s">
        <v>11</v>
      </c>
      <c r="G3" s="80">
        <f ca="1">IF($C3="No Param",32,VLOOKUP($C3,INDIRECT(Config!$B$1),HLOOKUP(D$1,INDIRECT(Config!$E$1),2,FALSE),FALSE))</f>
        <v>512</v>
      </c>
      <c r="H3" s="31" t="s">
        <v>12</v>
      </c>
      <c r="I3" s="31" t="s">
        <v>13</v>
      </c>
      <c r="J3" s="31" t="s">
        <v>399</v>
      </c>
      <c r="K3" s="31" t="s">
        <v>399</v>
      </c>
      <c r="L3" s="31" t="str">
        <f ca="1">IF(VLOOKUP("EXT_FUSE_PULL_SUPP", INDIRECT(Config!$B$1),HLOOKUP(D$1,INDIRECT(Config!$E$1),2,FALSE),FALSE)=1, IF(G3&gt;0,CONCATENATE("CSME_Security_keys[",G3-1,":0]"), ""), "")</f>
        <v/>
      </c>
      <c r="M3" s="165" t="s">
        <v>379</v>
      </c>
      <c r="N3" s="168" t="s">
        <v>14</v>
      </c>
      <c r="O3" s="169">
        <f ca="1">($G3+$G4+$G5+$G6+$G7)</f>
        <v>1056</v>
      </c>
    </row>
    <row r="4" spans="1:15" ht="15" customHeight="1" x14ac:dyDescent="0.35">
      <c r="A4" s="164"/>
      <c r="B4" s="46" t="s">
        <v>408</v>
      </c>
      <c r="C4" s="46" t="s">
        <v>408</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399</v>
      </c>
      <c r="K4" s="17" t="s">
        <v>399</v>
      </c>
      <c r="L4" s="84" t="str">
        <f ca="1">IF(VLOOKUP("EXT_FUSE_PULL_SUPP", INDIRECT(Config!$B$1),HLOOKUP(D$1,INDIRECT(Config!$E$1),2,FALSE),FALSE)=1, IF(G4&gt;0,CONCATENATE("CSME_Security_Keys_Fuse_Check_Hash[",G4-1,":0]"), ""), "")</f>
        <v/>
      </c>
      <c r="M4" s="166"/>
      <c r="N4" s="166"/>
      <c r="O4" s="170"/>
    </row>
    <row r="5" spans="1:15" ht="15" customHeight="1" x14ac:dyDescent="0.35">
      <c r="A5" s="164"/>
      <c r="B5" s="46" t="s">
        <v>409</v>
      </c>
      <c r="C5" s="46" t="s">
        <v>409</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399</v>
      </c>
      <c r="K5" s="17" t="s">
        <v>399</v>
      </c>
      <c r="L5" s="84" t="str">
        <f ca="1">IF(VLOOKUP("EXT_FUSE_PULL_SUPP", INDIRECT(Config!$B$1),HLOOKUP(D$1,INDIRECT(Config!$E$1),2,FALSE),FALSE)=1, IF(G5&gt;0,CONCATENATE("CSME_Debug_Enabled_Security_Key[",G5-1,":0]"),""), "")</f>
        <v/>
      </c>
      <c r="M5" s="166"/>
      <c r="N5" s="166"/>
      <c r="O5" s="170"/>
    </row>
    <row r="6" spans="1:15" ht="15" customHeight="1" x14ac:dyDescent="0.35">
      <c r="A6" s="164"/>
      <c r="B6" s="90" t="s">
        <v>410</v>
      </c>
      <c r="C6" s="90" t="s">
        <v>410</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399</v>
      </c>
      <c r="K6" s="17" t="s">
        <v>399</v>
      </c>
      <c r="L6" s="84" t="str">
        <f ca="1">IF(VLOOKUP("EXT_FUSE_PULL_SUPP", INDIRECT(Config!$B$1),HLOOKUP(D$1,INDIRECT(Config!$E$1),2,FALSE),FALSE)=1, IF(G6&gt;0,CONCATENATE("CSME_Debug_Encryption_Security_Key[",G6-1,":0]"),""), "")</f>
        <v/>
      </c>
      <c r="M6" s="166"/>
      <c r="N6" s="166"/>
      <c r="O6" s="170"/>
    </row>
    <row r="7" spans="1:15" ht="15" customHeight="1" thickBot="1" x14ac:dyDescent="0.4">
      <c r="A7" s="164"/>
      <c r="B7" s="91" t="s">
        <v>434</v>
      </c>
      <c r="C7" s="99" t="s">
        <v>434</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399</v>
      </c>
      <c r="K7" s="33" t="s">
        <v>399</v>
      </c>
      <c r="L7" s="56" t="str">
        <f ca="1">IF(VLOOKUP("EXT_FUSE_PULL_SUPP", INDIRECT(Config!$B$1),HLOOKUP(D$1,INDIRECT(Config!$E$1),2,FALSE),FALSE)=1, IF(G7&gt;0,CONCATENATE("Security_Fuses_Valid[",G7-1,":0]"),""), "")</f>
        <v/>
      </c>
      <c r="M7" s="167"/>
      <c r="N7" s="167"/>
      <c r="O7" s="171"/>
    </row>
    <row r="8" spans="1:15" x14ac:dyDescent="0.35">
      <c r="A8" s="34" t="s">
        <v>16</v>
      </c>
      <c r="B8" s="92" t="s">
        <v>17</v>
      </c>
      <c r="C8" s="92" t="s">
        <v>17</v>
      </c>
      <c r="D8" s="44" t="s">
        <v>18</v>
      </c>
      <c r="E8" s="58"/>
      <c r="F8" s="88" t="s">
        <v>19</v>
      </c>
      <c r="G8" s="85">
        <f ca="1">IF($C8="No Param",32,VLOOKUP($C8,INDIRECT(Config!$B$1),HLOOKUP(D$1,INDIRECT(Config!$E$1),2,FALSE),FALSE))</f>
        <v>768</v>
      </c>
      <c r="H8" s="84" t="s">
        <v>572</v>
      </c>
      <c r="I8" s="84" t="s">
        <v>20</v>
      </c>
      <c r="J8" s="84" t="s">
        <v>399</v>
      </c>
      <c r="K8" s="84" t="s">
        <v>399</v>
      </c>
      <c r="L8" s="84" t="str">
        <f ca="1">IF(VLOOKUP("EXT_FUSE_PULL_SUPP", INDIRECT(Config!$B$1),HLOOKUP(D$1,INDIRECT(Config!$E$1),2,FALSE),FALSE)=1, IF(G8&gt;0,CONCATENATE("CSME_ECC_P384_ONDIE_ROM_CERT[",G8-1,":0]"), ""), "")</f>
        <v/>
      </c>
      <c r="M8" s="172" t="s">
        <v>380</v>
      </c>
      <c r="N8" s="175" t="s">
        <v>21</v>
      </c>
      <c r="O8" s="177">
        <f ca="1">($G8+$G9+$G10+$G12)</f>
        <v>960</v>
      </c>
    </row>
    <row r="9" spans="1:15" x14ac:dyDescent="0.35">
      <c r="A9" s="179" t="s">
        <v>22</v>
      </c>
      <c r="B9" s="93" t="s">
        <v>411</v>
      </c>
      <c r="C9" s="93" t="s">
        <v>411</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399</v>
      </c>
      <c r="K9" s="17" t="s">
        <v>399</v>
      </c>
      <c r="L9" s="84" t="str">
        <f ca="1">IF(VLOOKUP("EXT_FUSE_PULL_SUPP", INDIRECT(Config!$B$1),HLOOKUP(D$1,INDIRECT(Config!$E$1),2,FALSE),FALSE)=1, IF(G9&gt;0,CONCATENATE("CSME_HW_FW_Config_fuses[",G9-1,":0]"), ""), "")</f>
        <v/>
      </c>
      <c r="M9" s="173"/>
      <c r="N9" s="166"/>
      <c r="O9" s="170"/>
    </row>
    <row r="10" spans="1:15" x14ac:dyDescent="0.35">
      <c r="A10" s="180"/>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399</v>
      </c>
      <c r="K10" s="17" t="s">
        <v>399</v>
      </c>
      <c r="L10" s="84" t="str">
        <f ca="1">IF(VLOOKUP("EXT_FUSE_PULL_SUPP", INDIRECT(Config!$B$1),HLOOKUP(D$1,INDIRECT(Config!$E$1),2,FALSE),FALSE)=1, IF(G10&gt;0,CONCATENATE("GENERAL_FW_FUSES_CHECK[",G10-1,":0]"),""), "")</f>
        <v/>
      </c>
      <c r="M10" s="173"/>
      <c r="N10" s="166"/>
      <c r="O10" s="170"/>
    </row>
    <row r="11" spans="1:15" x14ac:dyDescent="0.35">
      <c r="A11" s="180"/>
      <c r="B11" s="63" t="s">
        <v>435</v>
      </c>
      <c r="C11" s="63" t="s">
        <v>435</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399</v>
      </c>
      <c r="K11" s="17" t="s">
        <v>399</v>
      </c>
      <c r="L11" s="84" t="str">
        <f ca="1">IF(VLOOKUP("EXT_FUSE_PULL_SUPP", INDIRECT(Config!$B$1),HLOOKUP(D$1,INDIRECT(Config!$E$1),2,FALSE),FALSE)=1, IF(G11&gt;0,CONCATENATE("FW_Fuses_Valid[",G11-1,":0]"),""), "")</f>
        <v/>
      </c>
      <c r="M11" s="173"/>
      <c r="N11" s="166"/>
      <c r="O11" s="170"/>
    </row>
    <row r="12" spans="1:15" ht="15" thickBot="1" x14ac:dyDescent="0.4">
      <c r="A12" s="181"/>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399</v>
      </c>
      <c r="K12" s="104" t="s">
        <v>399</v>
      </c>
      <c r="L12" s="120" t="str">
        <f ca="1">IF(VLOOKUP("EXT_FUSE_PULL_SUPP", INDIRECT(Config!$B$1),HLOOKUP(D$1,INDIRECT(Config!$E$1),2,FALSE),FALSE)=1, IF(G12&gt;0,CONCATENATE("HW_OCS_PUF_ECC[",G12-1,":0]"),""), "")</f>
        <v/>
      </c>
      <c r="M12" s="174"/>
      <c r="N12" s="176"/>
      <c r="O12" s="178"/>
    </row>
    <row r="13" spans="1:15" ht="15" customHeight="1" x14ac:dyDescent="0.35">
      <c r="A13" s="179" t="s">
        <v>25</v>
      </c>
      <c r="B13" s="44" t="s">
        <v>26</v>
      </c>
      <c r="C13" s="48" t="s">
        <v>626</v>
      </c>
      <c r="D13" s="182" t="s">
        <v>27</v>
      </c>
      <c r="E13" s="148"/>
      <c r="F13" s="138" t="s">
        <v>28</v>
      </c>
      <c r="G13" s="80">
        <f ca="1">IF($C13="No Param",32,VLOOKUP($C13,INDIRECT(Config!$B$1),HLOOKUP(D$1,INDIRECT(Config!$E$1),2,FALSE),FALSE)*32)</f>
        <v>32</v>
      </c>
      <c r="H13" s="31" t="s">
        <v>29</v>
      </c>
      <c r="I13" s="31" t="s">
        <v>30</v>
      </c>
      <c r="J13"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3"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3" s="31" t="str">
        <f ca="1">IF(VLOOKUP("EXT_FUSE_PULL_SUPP", INDIRECT(Config!$B$1),HLOOKUP(D$1,INDIRECT(Config!$E$1),2,FALSE),FALSE)=1, IF(G13&gt;0,CONCATENATE("CSME_HW_FW_Config_fusess[",G13-1,":0]"), ""), "")</f>
        <v/>
      </c>
      <c r="M13" s="165" t="s">
        <v>381</v>
      </c>
      <c r="N13" s="168" t="s">
        <v>31</v>
      </c>
      <c r="O13" s="169">
        <f ca="1">(4*32+G17+G18+G19+G20+G21+G22)</f>
        <v>160</v>
      </c>
    </row>
    <row r="14" spans="1:15" x14ac:dyDescent="0.35">
      <c r="A14" s="180"/>
      <c r="B14" s="46" t="s">
        <v>32</v>
      </c>
      <c r="C14" s="49" t="s">
        <v>626</v>
      </c>
      <c r="D14" s="183"/>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4"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4" s="17" t="str">
        <f ca="1">IF(VLOOKUP("EXT_FUSE_PULL_SUPP", INDIRECT(Config!$B$1),HLOOKUP(D$1,INDIRECT(Config!$E$1),2,FALSE),FALSE)=1, IF(G14&gt;0,CONCATENATE("CSME_HW_FW_Config_fusess[",G14-1+G13,":",G13,"]"), ""), "")</f>
        <v/>
      </c>
      <c r="M14" s="184"/>
      <c r="N14" s="166"/>
      <c r="O14" s="170"/>
    </row>
    <row r="15" spans="1:15" x14ac:dyDescent="0.35">
      <c r="A15" s="180"/>
      <c r="B15" s="46" t="s">
        <v>33</v>
      </c>
      <c r="C15" s="49" t="s">
        <v>626</v>
      </c>
      <c r="D15" s="183"/>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5"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5" s="17" t="str">
        <f ca="1">IF(VLOOKUP("EXT_FUSE_PULL_SUPP", INDIRECT(Config!$B$1),HLOOKUP(D$1,INDIRECT(Config!$E$1),2,FALSE),FALSE)=1, IF(G15&gt;0,CONCATENATE("CSME_HW_FW_Config_fusess[",G15-1+G14+G13,":",G14+G13,"]"), ""), "")</f>
        <v/>
      </c>
      <c r="M15" s="184"/>
      <c r="N15" s="166"/>
      <c r="O15" s="170"/>
    </row>
    <row r="16" spans="1:15" x14ac:dyDescent="0.35">
      <c r="A16" s="180"/>
      <c r="B16" s="46" t="s">
        <v>34</v>
      </c>
      <c r="C16" s="49" t="s">
        <v>626</v>
      </c>
      <c r="D16" s="183"/>
      <c r="E16" s="14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6"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6" s="17" t="str">
        <f ca="1">IF(VLOOKUP("EXT_FUSE_PULL_SUPP", INDIRECT(Config!$B$1),HLOOKUP(D$1,INDIRECT(Config!$E$1),2,FALSE),FALSE)=1, IF(G16&gt;0,CONCATENATE("CSME_HW_FW_Config_fusess[",G16-1+G15+G14+G13,":",G15+G14+G13,"]"), ""), "")</f>
        <v/>
      </c>
      <c r="M16" s="184"/>
      <c r="N16" s="166"/>
      <c r="O16" s="170"/>
    </row>
    <row r="17" spans="1:15" x14ac:dyDescent="0.35">
      <c r="A17" s="180"/>
      <c r="B17" s="46" t="s">
        <v>36</v>
      </c>
      <c r="C17" s="46" t="s">
        <v>261</v>
      </c>
      <c r="D17" s="183"/>
      <c r="E17" s="14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Group1!C93)*Group1!G93*Group1!M93
+_xlfn.BITLSHIFT(1, Group1!C94)*Group1!G94*Group1!M94
+_xlfn.BITLSHIFT(1, Group1!C95)*Group1!G95*Group1!M95
+_xlfn.BITLSHIFT(1, Group1!C96)*Group1!G96*Group1!M96, 8))</f>
        <v>0x00000000</v>
      </c>
      <c r="K17" s="17" t="str">
        <f ca="1">CONCATENATE("0x", DEC2HEX(
 _xlfn.BITLSHIFT(1, Group1!C93)*Group1!H93*Group1!M93
+_xlfn.BITLSHIFT(1, Group1!C94)*Group1!H94*Group1!M94
+_xlfn.BITLSHIFT(1, Group1!C95)*Group1!H95*Group1!M95
+_xlfn.BITLSHIFT(1, Group1!C96)*Group1!H96*Group1!M96, 8))</f>
        <v>0x00000000</v>
      </c>
      <c r="L17" s="17" t="str">
        <f ca="1">IF(VLOOKUP("EXT_FUSE_PULL_SUPP", INDIRECT(Config!$B$1),HLOOKUP(D$1,INDIRECT(Config!$E$1),2,FALSE),FALSE)=1, IF(G17&gt;0,CONCATENATE("CSME_HW_FW_Config_fusess[",G17-1+G16+G15+G14+G13,":",G16+G15+G14+G13,"]"), ""), "")</f>
        <v/>
      </c>
      <c r="M17" s="184"/>
      <c r="N17" s="166"/>
      <c r="O17" s="170"/>
    </row>
    <row r="18" spans="1:15" x14ac:dyDescent="0.35">
      <c r="A18" s="180"/>
      <c r="B18" s="46" t="s">
        <v>38</v>
      </c>
      <c r="C18" s="95" t="s">
        <v>221</v>
      </c>
      <c r="D18" s="183"/>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Group1!C97)*Group1!G97*Group1!M97
+_xlfn.BITLSHIFT(1, Group1!C98)*Group1!G98*Group1!M98
+_xlfn.BITLSHIFT(1, Group1!C99)*Group1!G99*Group1!M99
+_xlfn.BITLSHIFT(1, Group1!C100)*Group1!G100*Group1!M100, 8))</f>
        <v>0x00000000</v>
      </c>
      <c r="K18" s="17" t="str">
        <f ca="1">CONCATENATE("0x", DEC2HEX(
 _xlfn.BITLSHIFT(1, Group1!C97)*Group1!H97*Group1!M97
+_xlfn.BITLSHIFT(1, Group1!C98)*Group1!H98*Group1!M98
+_xlfn.BITLSHIFT(1, Group1!C99)*Group1!H99*Group1!M99
+_xlfn.BITLSHIFT(1, Group1!C100)*Group1!H100*Group1!M100, 8))</f>
        <v>0x00000000</v>
      </c>
      <c r="L18" s="17" t="str">
        <f ca="1">IF(VLOOKUP("EXT_FUSE_PULL_SUPP", INDIRECT(Config!$B$1),HLOOKUP(D$1,INDIRECT(Config!$E$1),2,FALSE),FALSE)=1, IF(G18&gt;0,CONCATENATE("CSME_HW_FW_Config_fusess[",G18-1+G17+G16+G15+G14+G13,":",G17+G16+G15+G14+G13,"]"), ""), "")</f>
        <v/>
      </c>
      <c r="M18" s="184"/>
      <c r="N18" s="166"/>
      <c r="O18" s="170"/>
    </row>
    <row r="19" spans="1:15" x14ac:dyDescent="0.35">
      <c r="A19" s="180"/>
      <c r="B19" s="95" t="s">
        <v>254</v>
      </c>
      <c r="C19" s="95" t="s">
        <v>209</v>
      </c>
      <c r="D19" s="183"/>
      <c r="E19" s="149"/>
      <c r="F19" s="89" t="s">
        <v>28</v>
      </c>
      <c r="G19" s="51">
        <f ca="1">IF($C19="No Param",32,VLOOKUP($C19,INDIRECT(Config!$B$1),HLOOKUP(D$1,INDIRECT(Config!$E$1),2,FALSE),FALSE)*32)</f>
        <v>0</v>
      </c>
      <c r="H19" s="17" t="str">
        <f ca="1">IF(G19=0, "N/A", CONCATENATE("0x",DEC2HEX(HEX2DEC(SUBSTITUTE(H17,"0x",""))+(G17+G18)/8)))</f>
        <v>N/A</v>
      </c>
      <c r="I19" s="7" t="s">
        <v>390</v>
      </c>
      <c r="J19" s="7" t="str">
        <f ca="1">CONCATENATE("0x", DEC2HEX(
 _xlfn.BITLSHIFT(1, Group1!C87)*Group1!G87*Group1!M87
+_xlfn.BITLSHIFT(1, Group1!C88)*Group1!G88*Group1!M88
+_xlfn.BITLSHIFT(1, Group1!C89)*Group1!G89*Group1!M89, 8))</f>
        <v>0x00000000</v>
      </c>
      <c r="K19" s="7" t="str">
        <f ca="1">CONCATENATE("0x", DEC2HEX(
 _xlfn.BITLSHIFT(1, Group1!C87)*Group1!H87*Group1!M87
+_xlfn.BITLSHIFT(1, Group1!C88)*Group1!H88*Group1!M88
+_xlfn.BITLSHIFT(1, Group1!C89)*Group1!H89*Group1!M89, 8))</f>
        <v>0x00000000</v>
      </c>
      <c r="L19" s="17" t="str">
        <f ca="1">IF(VLOOKUP("EXT_FUSE_PULL_SUPP", INDIRECT(Config!$B$1),HLOOKUP(D$1,INDIRECT(Config!$E$1),2,FALSE),FALSE)=1, IF(G19&gt;0,CONCATENATE("CSME_HW_FW_Config_fusess[",G19-1+G18+G17+G16+G15+G14+G13,":",G18+G17+G16+G15+G14+G13,"]"), ""), "")</f>
        <v/>
      </c>
      <c r="M19" s="184"/>
      <c r="N19" s="166"/>
      <c r="O19" s="170"/>
    </row>
    <row r="20" spans="1:15" x14ac:dyDescent="0.35">
      <c r="A20" s="180"/>
      <c r="B20" s="95" t="s">
        <v>258</v>
      </c>
      <c r="C20" s="95" t="s">
        <v>402</v>
      </c>
      <c r="D20" s="183"/>
      <c r="E20" s="149"/>
      <c r="F20" s="89" t="s">
        <v>28</v>
      </c>
      <c r="G20" s="51">
        <f ca="1">IF($C20="No Param",32,VLOOKUP($C20,INDIRECT(Config!$B$1),HLOOKUP(D$1,INDIRECT(Config!$E$1),2,FALSE),FALSE)*32)</f>
        <v>0</v>
      </c>
      <c r="H20" s="17" t="str">
        <f ca="1">IF(G20=0, "N/A", CONCATENATE("0x",DEC2HEX(HEX2DEC(SUBSTITUTE(H17,"0x",""))+(G17+G18+G19)/8)))</f>
        <v>N/A</v>
      </c>
      <c r="I20" s="7" t="s">
        <v>391</v>
      </c>
      <c r="J20" s="7" t="str">
        <f ca="1">CONCATENATE("0x", DEC2HEX(
 _xlfn.BITLSHIFT(1, Group1!C90)*Group1!G90*Group1!M90, 8))</f>
        <v>0x00000000</v>
      </c>
      <c r="K20" s="7" t="str">
        <f ca="1">CONCATENATE("0x", DEC2HEX(
 _xlfn.BITLSHIFT(1, Group1!C90)*Group1!H90*Group1!M90, 8))</f>
        <v>0x00000000</v>
      </c>
      <c r="L20" s="17" t="str">
        <f ca="1">IF(VLOOKUP("EXT_FUSE_PULL_SUPP", INDIRECT(Config!$B$1),HLOOKUP(D$1,INDIRECT(Config!$E$1),2,FALSE),FALSE)=1, IF(G20&gt;0,CONCATENATE("CSME_HW_FW_Config_fusess[",G20-1+G19+G18+G17+G16+G15+G14+G13,":",G19+G18+G17+G16+G15+G14+G13,"]"), ""), "")</f>
        <v/>
      </c>
      <c r="M20" s="184"/>
      <c r="N20" s="166"/>
      <c r="O20" s="170"/>
    </row>
    <row r="21" spans="1:15" x14ac:dyDescent="0.35">
      <c r="A21" s="180"/>
      <c r="B21" s="95" t="s">
        <v>259</v>
      </c>
      <c r="C21" s="95" t="s">
        <v>402</v>
      </c>
      <c r="D21" s="183"/>
      <c r="E21" s="149"/>
      <c r="F21" s="89" t="s">
        <v>28</v>
      </c>
      <c r="G21" s="51">
        <f ca="1">IF($C21="No Param",32,VLOOKUP($C21,INDIRECT(Config!$B$1),HLOOKUP(D$1,INDIRECT(Config!$E$1),2,FALSE),FALSE)*32)</f>
        <v>0</v>
      </c>
      <c r="H21" s="17" t="str">
        <f ca="1">IF(G21=0, "N/A", CONCATENATE("0x",DEC2HEX(HEX2DEC(SUBSTITUTE(H17,"0x",""))+(G17+G18+G19+G20)/8)))</f>
        <v>N/A</v>
      </c>
      <c r="I21" s="7" t="s">
        <v>392</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IF(G21&gt;0,CONCATENATE("CSME_HW_FW_Config_fusess[",G21-1+G20+G19+G18+G17+G16+G15+G14+G13,":",G20+G19+G18+G17+G16+G15+G14+G13,"]"), ""), "")</f>
        <v/>
      </c>
      <c r="M21" s="184"/>
      <c r="N21" s="166"/>
      <c r="O21" s="170"/>
    </row>
    <row r="22" spans="1:15" x14ac:dyDescent="0.35">
      <c r="A22" s="180"/>
      <c r="B22" s="95" t="s">
        <v>260</v>
      </c>
      <c r="C22" s="95" t="s">
        <v>402</v>
      </c>
      <c r="D22" s="183"/>
      <c r="E22" s="149"/>
      <c r="F22" s="89" t="s">
        <v>28</v>
      </c>
      <c r="G22" s="51">
        <f ca="1">IF($C22="No Param",32,VLOOKUP($C22,INDIRECT(Config!$B$1),HLOOKUP(D$1,INDIRECT(Config!$E$1),2,FALSE),FALSE)*32)</f>
        <v>0</v>
      </c>
      <c r="H22" s="17" t="str">
        <f ca="1">IF(G22=0, "N/A", CONCATENATE("0x",DEC2HEX(HEX2DEC(SUBSTITUTE(H17,"0x",""))+(G17+G18+G19+G20+G21)/8)))</f>
        <v>N/A</v>
      </c>
      <c r="I22" s="7" t="s">
        <v>393</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IF(G22&gt;0,CONCATENATE("CSME_HW_FW_Config_fusess[",G22-1+G21+G20+G19+G18+G17+G16+G15+G14+G13,":",G21+G20+G19+G18+G17+G16+G15+G14+G13,"]"), ""), "")</f>
        <v/>
      </c>
      <c r="M22" s="184"/>
      <c r="N22" s="166"/>
      <c r="O22" s="170"/>
    </row>
    <row r="23" spans="1:15" x14ac:dyDescent="0.35">
      <c r="A23" s="180"/>
      <c r="B23" s="46" t="s">
        <v>40</v>
      </c>
      <c r="C23" s="49" t="s">
        <v>626</v>
      </c>
      <c r="D23" s="183"/>
      <c r="E23" s="149"/>
      <c r="F23" s="89" t="s">
        <v>28</v>
      </c>
      <c r="G23" s="51">
        <f ca="1">IF($C23="No Param",32,VLOOKUP($C23,INDIRECT(Config!$B$1),HLOOKUP(D$1,INDIRECT(Config!$E$1),2,FALSE),FALSE)*32)</f>
        <v>32</v>
      </c>
      <c r="H23" s="17" t="s">
        <v>41</v>
      </c>
      <c r="I23" s="17" t="s">
        <v>42</v>
      </c>
      <c r="J23" s="17" t="str">
        <f>CONCATENATE("0x", DEC2HEX(
 _xlfn.BITLSHIFT(1, Group1!C101)*Group1!G101*Group1!M101
+_xlfn.BITLSHIFT(1, Group1!C102)*Group1!G102*Group1!M102
+_xlfn.BITLSHIFT(1, Group1!C103)*Group1!G103*Group1!M103
+_xlfn.BITLSHIFT(1, Group1!C104)*Group1!G104*Group1!M104, 8))</f>
        <v>0x00000000</v>
      </c>
      <c r="K23" s="17" t="str">
        <f>CONCATENATE("0x", DEC2HEX(
 _xlfn.BITLSHIFT(1, Group1!C101)*Group1!H101*Group1!M101
+_xlfn.BITLSHIFT(1, Group1!C102)*Group1!H102*Group1!M102
+_xlfn.BITLSHIFT(1, Group1!C103)*Group1!H103*Group1!M103
+_xlfn.BITLSHIFT(1, Group1!C104)*Group1!H104*Group1!M104, 8))</f>
        <v>0x0A000000</v>
      </c>
      <c r="L23" s="17" t="str">
        <f ca="1">IF(VLOOKUP("EXT_FUSE_PULL_SUPP", INDIRECT(Config!$B$1),HLOOKUP(D$1,INDIRECT(Config!$E$1),2,FALSE),FALSE)=1, IF(G23&gt;0,CONCATENATE("CSME_HW_FW_INT_CHK[",G23-1,":0]"),""), "")</f>
        <v/>
      </c>
      <c r="M23" s="184"/>
      <c r="N23" s="166"/>
      <c r="O23" s="170"/>
    </row>
    <row r="24" spans="1:15" x14ac:dyDescent="0.35">
      <c r="A24" s="179" t="s">
        <v>43</v>
      </c>
      <c r="B24" s="46" t="s">
        <v>44</v>
      </c>
      <c r="C24" s="46" t="s">
        <v>627</v>
      </c>
      <c r="D24" s="183" t="s">
        <v>45</v>
      </c>
      <c r="E24" s="149"/>
      <c r="F24" s="89" t="s">
        <v>46</v>
      </c>
      <c r="G24" s="51">
        <f ca="1">IF($C24="No Param",32,VLOOKUP($C24,INDIRECT(Config!$B$1),HLOOKUP(D$1,INDIRECT(Config!$E$1),2,FALSE),FALSE)*32)</f>
        <v>32</v>
      </c>
      <c r="H24" s="17" t="str">
        <f ca="1">IF(G24=0,"N/A","0x8000")</f>
        <v>0x8000</v>
      </c>
      <c r="I24" s="17" t="s">
        <v>47</v>
      </c>
      <c r="J24" s="17" t="s">
        <v>399</v>
      </c>
      <c r="K24" s="17" t="s">
        <v>399</v>
      </c>
      <c r="L24" s="17"/>
      <c r="M24" s="184" t="s">
        <v>382</v>
      </c>
      <c r="N24" s="166"/>
      <c r="O24" s="170">
        <f ca="1">(G24+G25)</f>
        <v>64</v>
      </c>
    </row>
    <row r="25" spans="1:15" ht="15" thickBot="1" x14ac:dyDescent="0.4">
      <c r="A25" s="185"/>
      <c r="B25" s="96" t="s">
        <v>48</v>
      </c>
      <c r="C25" s="96" t="s">
        <v>628</v>
      </c>
      <c r="D25" s="186"/>
      <c r="E25" s="150"/>
      <c r="F25" s="98" t="s">
        <v>46</v>
      </c>
      <c r="G25" s="97">
        <f ca="1">IF($C25="No Param",32,VLOOKUP($C25,INDIRECT(Config!$B$1),HLOOKUP(D$1,INDIRECT(Config!$E$1),2,FALSE),FALSE)*32)</f>
        <v>32</v>
      </c>
      <c r="H25" s="33" t="str">
        <f ca="1">IF(G25=0,"N/A","0x8004")</f>
        <v>0x8004</v>
      </c>
      <c r="I25" s="33" t="s">
        <v>49</v>
      </c>
      <c r="J25" s="33" t="s">
        <v>399</v>
      </c>
      <c r="K25" s="33" t="s">
        <v>399</v>
      </c>
      <c r="L25" s="33"/>
      <c r="M25" s="167"/>
      <c r="N25" s="167"/>
      <c r="O25" s="171"/>
    </row>
    <row r="26" spans="1:15" ht="15" thickBot="1" x14ac:dyDescent="0.4">
      <c r="A26" s="151"/>
    </row>
    <row r="27" spans="1:15" x14ac:dyDescent="0.35">
      <c r="A27" s="182" t="s">
        <v>51</v>
      </c>
      <c r="B27" s="105" t="s">
        <v>631</v>
      </c>
      <c r="C27" s="105" t="s">
        <v>631</v>
      </c>
      <c r="D27" s="105"/>
      <c r="E27" s="134"/>
      <c r="F27" s="115" t="s">
        <v>52</v>
      </c>
      <c r="G27" s="116">
        <f ca="1">IF($C27="No Param",32,VLOOKUP($C27,INDIRECT(Config!$B$1),HLOOKUP(D$1,INDIRECT(Config!$E$1),2,FALSE),FALSE))</f>
        <v>512</v>
      </c>
      <c r="H27" s="107" t="s">
        <v>53</v>
      </c>
      <c r="I27" s="139" t="s">
        <v>637</v>
      </c>
      <c r="J27" s="139" t="s">
        <v>399</v>
      </c>
      <c r="K27" s="139" t="s">
        <v>399</v>
      </c>
      <c r="L27" s="139"/>
      <c r="M27" s="140" t="s">
        <v>50</v>
      </c>
      <c r="N27" s="168" t="s">
        <v>50</v>
      </c>
      <c r="O27" s="169">
        <f ca="1">SUM(G27:G41)</f>
        <v>576</v>
      </c>
    </row>
    <row r="28" spans="1:15" ht="15" customHeight="1" x14ac:dyDescent="0.35">
      <c r="A28" s="183"/>
      <c r="B28" s="46" t="s">
        <v>54</v>
      </c>
      <c r="C28" s="46" t="s">
        <v>261</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399</v>
      </c>
      <c r="K28" s="17" t="s">
        <v>399</v>
      </c>
      <c r="L28" s="84" t="str">
        <f ca="1">IF(VLOOKUP("EXT_FUSE_PULL_SUPP", INDIRECT(Config!$B$1),HLOOKUP(D$1,INDIRECT(Config!$E$1),2,FALSE),FALSE)=1, IF(G28&gt;0,CONCATENATE("GSK_OEM_IFP_CONFIG[",G28-1,":0]"),""), "")</f>
        <v/>
      </c>
      <c r="M28" s="184" t="s">
        <v>381</v>
      </c>
      <c r="N28" s="166"/>
      <c r="O28" s="170"/>
    </row>
    <row r="29" spans="1:15" x14ac:dyDescent="0.35">
      <c r="A29" s="183"/>
      <c r="B29" s="46" t="s">
        <v>56</v>
      </c>
      <c r="C29" s="46" t="s">
        <v>261</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399</v>
      </c>
      <c r="K29" s="17" t="s">
        <v>399</v>
      </c>
      <c r="L29" s="84" t="str">
        <f ca="1">IF(VLOOKUP("EXT_FUSE_PULL_SUPP", INDIRECT(Config!$B$1),HLOOKUP(D$1,INDIRECT(Config!$E$1),2,FALSE),FALSE)=1, IF(G29&gt;0,CONCATENATE("GSK_TRC_DIS[",G29-1,":0]"),""), "")</f>
        <v/>
      </c>
      <c r="M29" s="184"/>
      <c r="N29" s="166"/>
      <c r="O29" s="170"/>
    </row>
    <row r="30" spans="1:15" x14ac:dyDescent="0.35">
      <c r="A30" s="183"/>
      <c r="B30" s="46" t="s">
        <v>371</v>
      </c>
      <c r="C30" s="17" t="s">
        <v>372</v>
      </c>
      <c r="D30" s="46" t="s">
        <v>564</v>
      </c>
      <c r="E30" s="40"/>
      <c r="F30" s="32" t="s">
        <v>52</v>
      </c>
      <c r="G30" s="51">
        <f ca="1">VLOOKUP("OEM_SECRET_KEY_FUSES_LIMIT", INDIRECT(Config!$B$1), HLOOKUP(D$1, INDIRECT(Config!$E$1), 2, FALSE),FALSE)*32</f>
        <v>0</v>
      </c>
      <c r="H30" s="17" t="s">
        <v>417</v>
      </c>
      <c r="I30" s="17" t="str">
        <f>CONCATENATE("0x",DEC2HEX(HEX2DEC(SUBSTITUTE(I27,"0x",""))+HEX2DEC(SUBSTITUTE(H30,"0x",""))))</f>
        <v>0xF00B0880</v>
      </c>
      <c r="J30" s="17" t="s">
        <v>399</v>
      </c>
      <c r="K30" s="17" t="s">
        <v>399</v>
      </c>
      <c r="L30" s="84" t="str">
        <f ca="1">IF(VLOOKUP("EXT_FUSE_PULL_SUPP", INDIRECT(Config!$B$1),HLOOKUP(D$1,INDIRECT(Config!$E$1),2,FALSE),FALSE)=1, IF(G30&gt;0,CONCATENATE("GSK_OEM_SECRET_KEYS_DWn[",G30-1,":0]"),""), "")</f>
        <v/>
      </c>
      <c r="M30" s="184"/>
      <c r="N30" s="166"/>
      <c r="O30" s="170"/>
    </row>
    <row r="31" spans="1:15" x14ac:dyDescent="0.35">
      <c r="A31" s="183"/>
      <c r="B31" s="109" t="s">
        <v>630</v>
      </c>
      <c r="C31" s="109" t="s">
        <v>685</v>
      </c>
      <c r="D31" s="133"/>
      <c r="E31" s="135" t="str">
        <f>CONCATENATE("This is a region for ",$D$1," FW IFPs")</f>
        <v>This is a region for MTL-SOC-M ESE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0</v>
      </c>
      <c r="H31" s="110" t="s">
        <v>58</v>
      </c>
      <c r="I31" s="2" t="str">
        <f>CONCATENATE("0x",DEC2HEX(HEX2DEC(SUBSTITUTE(I27,"0x",""))+HEX2DEC(SUBSTITUTE(H31,"0x",""))))</f>
        <v>0xF00B0900</v>
      </c>
      <c r="J31" s="141" t="s">
        <v>399</v>
      </c>
      <c r="K31" s="141" t="s">
        <v>399</v>
      </c>
      <c r="L31" s="142" t="str">
        <f ca="1">IF(VLOOKUP("EXT_FUSE_PULL_SUPP", INDIRECT(Config!$B$1),HLOOKUP(D$1,INDIRECT(Config!$E$1),2,FALSE),FALSE)=1, IF(G31&gt;0,CONCATENATE("CSME_HW_IFP_FUSES[",G31-1,":0]"),""), "")</f>
        <v/>
      </c>
      <c r="M31" s="141" t="s">
        <v>50</v>
      </c>
      <c r="N31" s="166"/>
      <c r="O31" s="170"/>
    </row>
    <row r="32" spans="1:15" x14ac:dyDescent="0.35">
      <c r="A32" s="183"/>
      <c r="B32" s="109" t="s">
        <v>632</v>
      </c>
      <c r="C32" s="109" t="s">
        <v>632</v>
      </c>
      <c r="D32" s="109"/>
      <c r="E32" s="136"/>
      <c r="F32" s="117" t="s">
        <v>415</v>
      </c>
      <c r="G32" s="106">
        <f ca="1">IF($C32="No Param",32,VLOOKUP($C32,INDIRECT(Config!$B$1),HLOOKUP(D$1,INDIRECT(Config!$E$1),2,FALSE),FALSE))</f>
        <v>0</v>
      </c>
      <c r="H32" s="110" t="s">
        <v>425</v>
      </c>
      <c r="I32" s="2" t="str">
        <f>CONCATENATE("0x",DEC2HEX(HEX2DEC(SUBSTITUTE(I27,"0x",""))+HEX2DEC(SUBSTITUTE(H32,"0x",""))))</f>
        <v>0xF00B0A00</v>
      </c>
      <c r="J32" s="141" t="s">
        <v>399</v>
      </c>
      <c r="K32" s="141" t="s">
        <v>399</v>
      </c>
      <c r="L32" s="141"/>
      <c r="M32" s="141" t="s">
        <v>50</v>
      </c>
      <c r="N32" s="166"/>
      <c r="O32" s="170"/>
    </row>
    <row r="33" spans="1:15" ht="15" customHeight="1" x14ac:dyDescent="0.35">
      <c r="A33" s="183"/>
      <c r="B33" s="46" t="s">
        <v>366</v>
      </c>
      <c r="C33" s="17" t="s">
        <v>367</v>
      </c>
      <c r="D33" s="46" t="s">
        <v>18</v>
      </c>
      <c r="E33" s="40"/>
      <c r="F33" s="32" t="s">
        <v>415</v>
      </c>
      <c r="G33" s="51">
        <f ca="1">IF(VLOOKUP("PARAM_INT_IFP_TRIPLE_RDD_DIS", INDIRECT(Config!$B$1), HLOOKUP(D$1, INDIRECT(Config!$E$1), 2, FALSE),FALSE)=0, VLOOKUP("TRC_PRESENT", INDIRECT(Config!$B$1), HLOOKUP(D$1, INDIRECT(Config!$E$1), 2, FALSE),FALSE)*32, 0)</f>
        <v>0</v>
      </c>
      <c r="H33" s="17" t="s">
        <v>420</v>
      </c>
      <c r="I33" s="17" t="str">
        <f>CONCATENATE("0x",DEC2HEX(HEX2DEC(SUBSTITUTE(I27,"0x",""))+HEX2DEC(SUBSTITUTE(H33,"0x",""))))</f>
        <v>0xF00B0A40</v>
      </c>
      <c r="J33" s="17" t="s">
        <v>399</v>
      </c>
      <c r="K33" s="17" t="s">
        <v>399</v>
      </c>
      <c r="L33" s="84" t="str">
        <f ca="1">IF(VLOOKUP("EXT_FUSE_PULL_SUPP", INDIRECT(Config!$B$1),HLOOKUP(D$1,INDIRECT(Config!$E$1),2,FALSE),FALSE)=1, IF(G33&gt;0,CONCATENATE("GSK_OEM_IFP_CONFIG_COPY1[",G33-1,":0]"),""), "")</f>
        <v/>
      </c>
      <c r="M33" s="184" t="s">
        <v>381</v>
      </c>
      <c r="N33" s="166"/>
      <c r="O33" s="170"/>
    </row>
    <row r="34" spans="1:15" x14ac:dyDescent="0.35">
      <c r="A34" s="183"/>
      <c r="B34" s="46" t="s">
        <v>413</v>
      </c>
      <c r="C34" s="17" t="s">
        <v>367</v>
      </c>
      <c r="D34" s="46" t="s">
        <v>18</v>
      </c>
      <c r="E34" s="40"/>
      <c r="F34" s="32" t="s">
        <v>415</v>
      </c>
      <c r="G34" s="51">
        <f ca="1">IF(VLOOKUP("PARAM_INT_IFP_TRIPLE_RDD_DIS", INDIRECT(Config!$B$1), HLOOKUP(D$1, INDIRECT(Config!$E$1), 2, FALSE),FALSE)=0, VLOOKUP("TRC_PRESENT", INDIRECT(Config!$B$1), HLOOKUP(D$1, INDIRECT(Config!$E$1), 2, FALSE),FALSE)*32, 0)</f>
        <v>0</v>
      </c>
      <c r="H34" s="17" t="s">
        <v>423</v>
      </c>
      <c r="I34" s="17" t="str">
        <f>CONCATENATE("0x",DEC2HEX(HEX2DEC(SUBSTITUTE(I27,"0x",""))+HEX2DEC(SUBSTITUTE(H34,"0x",""))))</f>
        <v>0xF00B0A44</v>
      </c>
      <c r="J34" s="17" t="s">
        <v>399</v>
      </c>
      <c r="K34" s="17" t="s">
        <v>399</v>
      </c>
      <c r="L34" s="84" t="str">
        <f ca="1">IF(VLOOKUP("EXT_FUSE_PULL_SUPP", INDIRECT(Config!$B$1),HLOOKUP(D$1,INDIRECT(Config!$E$1),2,FALSE),FALSE)=1, IF(G34&gt;0,CONCATENATE("GSK_TRC_DIS_COPY1[",G34-1,":0]"),""), "")</f>
        <v/>
      </c>
      <c r="M34" s="184"/>
      <c r="N34" s="166"/>
      <c r="O34" s="170"/>
    </row>
    <row r="35" spans="1:15" x14ac:dyDescent="0.35">
      <c r="A35" s="183"/>
      <c r="B35" s="46" t="s">
        <v>374</v>
      </c>
      <c r="C35" s="17" t="s">
        <v>375</v>
      </c>
      <c r="D35" s="46" t="s">
        <v>564</v>
      </c>
      <c r="E35" s="40"/>
      <c r="F35" s="32" t="s">
        <v>415</v>
      </c>
      <c r="G35" s="51">
        <f ca="1">IF(VLOOKUP("PARAM_INT_IFP_TRIPLE_RDD_DIS", INDIRECT(Config!$B$1), HLOOKUP(D$1, INDIRECT(Config!$E$1), 2, FALSE),FALSE)=0, VLOOKUP("OEM_SECRET_KEY_FUSES_LIMIT", INDIRECT(Config!$B$1), HLOOKUP(D$1, INDIRECT(Config!$E$1), 2, FALSE),FALSE)*32, 0)</f>
        <v>0</v>
      </c>
      <c r="H35" s="17" t="s">
        <v>418</v>
      </c>
      <c r="I35" s="17" t="str">
        <f>CONCATENATE("0x",DEC2HEX(HEX2DEC(SUBSTITUTE(I27,"0x",""))+HEX2DEC(SUBSTITUTE(H35,"0x",""))))</f>
        <v>0xF00B0A80</v>
      </c>
      <c r="J35" s="17" t="s">
        <v>399</v>
      </c>
      <c r="K35" s="17" t="s">
        <v>399</v>
      </c>
      <c r="L35" s="84" t="str">
        <f ca="1">IF(VLOOKUP("EXT_FUSE_PULL_SUPP", INDIRECT(Config!$B$1),HLOOKUP(D$1,INDIRECT(Config!$E$1),2,FALSE),FALSE)=1, IF(G35&gt;0,CONCATENATE("GSK_OEM_SECRET_KEYS_DWn_COPY1[",G35-1,":0]"),""), "")</f>
        <v/>
      </c>
      <c r="M35" s="184"/>
      <c r="N35" s="166"/>
      <c r="O35" s="170"/>
    </row>
    <row r="36" spans="1:15" x14ac:dyDescent="0.35">
      <c r="A36" s="183"/>
      <c r="B36" s="109" t="s">
        <v>633</v>
      </c>
      <c r="C36" s="109" t="s">
        <v>685</v>
      </c>
      <c r="D36" s="133"/>
      <c r="E36" s="135" t="str">
        <f>IF($D$1="MTL-SOC-M CSME", "This is a region for MTL-SOC-M GSC FW IFPs", CONCATENATE("This is a region for ",$D$1," FW IFPs"))</f>
        <v>This is a region for MTL-SOC-M ESE FW IFPs</v>
      </c>
      <c r="F36" s="117" t="s">
        <v>415</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0</v>
      </c>
      <c r="H36" s="110" t="s">
        <v>424</v>
      </c>
      <c r="I36" s="2" t="str">
        <f>CONCATENATE("0x",DEC2HEX(HEX2DEC(SUBSTITUTE(I27,"0x",""))+HEX2DEC(SUBSTITUTE(H36,"0x",""))))</f>
        <v>0xF00B0B00</v>
      </c>
      <c r="J36" s="141" t="s">
        <v>399</v>
      </c>
      <c r="K36" s="141" t="s">
        <v>399</v>
      </c>
      <c r="L36" s="142" t="str">
        <f ca="1">IF(VLOOKUP("EXT_FUSE_PULL_SUPP", INDIRECT(Config!$B$1),HLOOKUP(D$1,INDIRECT(Config!$E$1),2,FALSE),FALSE)=1, IF(G36&gt;0,CONCATENATE("CSME_HW_IFP_FUSES_COPY1[",G36-1,":0]"),""), "")</f>
        <v/>
      </c>
      <c r="M36" s="141" t="s">
        <v>50</v>
      </c>
      <c r="N36" s="166"/>
      <c r="O36" s="170"/>
    </row>
    <row r="37" spans="1:15" x14ac:dyDescent="0.35">
      <c r="A37" s="183"/>
      <c r="B37" s="109" t="s">
        <v>634</v>
      </c>
      <c r="C37" s="109" t="s">
        <v>634</v>
      </c>
      <c r="D37" s="109"/>
      <c r="E37" s="136"/>
      <c r="F37" s="117" t="s">
        <v>416</v>
      </c>
      <c r="G37" s="106">
        <f ca="1">IF($C37="No Param",32,VLOOKUP($C37,INDIRECT(Config!$B$1),HLOOKUP(D$1,INDIRECT(Config!$E$1),2,FALSE),FALSE))</f>
        <v>0</v>
      </c>
      <c r="H37" s="110" t="s">
        <v>426</v>
      </c>
      <c r="I37" s="2" t="str">
        <f>CONCATENATE("0x",DEC2HEX(HEX2DEC(SUBSTITUTE(I27,"0x",""))+HEX2DEC(SUBSTITUTE(H37,"0x",""))))</f>
        <v>0xF00B0C00</v>
      </c>
      <c r="J37" s="141" t="s">
        <v>399</v>
      </c>
      <c r="K37" s="141" t="s">
        <v>399</v>
      </c>
      <c r="L37" s="141"/>
      <c r="M37" s="141" t="s">
        <v>50</v>
      </c>
      <c r="N37" s="166"/>
      <c r="O37" s="170"/>
    </row>
    <row r="38" spans="1:15" ht="15" customHeight="1" x14ac:dyDescent="0.35">
      <c r="A38" s="183"/>
      <c r="B38" s="46" t="s">
        <v>369</v>
      </c>
      <c r="C38" s="17" t="s">
        <v>367</v>
      </c>
      <c r="D38" s="46" t="s">
        <v>18</v>
      </c>
      <c r="E38" s="40"/>
      <c r="F38" s="32" t="s">
        <v>416</v>
      </c>
      <c r="G38" s="51">
        <f ca="1">IF(VLOOKUP("PARAM_INT_IFP_TRIPLE_RDD_DIS", INDIRECT(Config!$B$1), HLOOKUP(D$1, INDIRECT(Config!$E$1), 2, FALSE),FALSE)=0, VLOOKUP("TRC_PRESENT", INDIRECT(Config!$B$1), HLOOKUP(D$1, INDIRECT(Config!$E$1), 2, FALSE),FALSE)*32, 0)</f>
        <v>0</v>
      </c>
      <c r="H38" s="17" t="s">
        <v>422</v>
      </c>
      <c r="I38" s="17" t="str">
        <f>CONCATENATE("0x",DEC2HEX(HEX2DEC(SUBSTITUTE(I27,"0x",""))+HEX2DEC(SUBSTITUTE(H38,"0x",""))))</f>
        <v>0xF00B0C40</v>
      </c>
      <c r="J38" s="17" t="s">
        <v>399</v>
      </c>
      <c r="K38" s="17" t="s">
        <v>399</v>
      </c>
      <c r="L38" s="84" t="str">
        <f ca="1">IF(VLOOKUP("EXT_FUSE_PULL_SUPP", INDIRECT(Config!$B$1),HLOOKUP(D$1,INDIRECT(Config!$E$1),2,FALSE),FALSE)=1, IF(G38&gt;0,CONCATENATE("GSK_OEM_IFP_CONFIG_COPY2[",G38-1,":0]"),""), "")</f>
        <v/>
      </c>
      <c r="M38" s="184" t="s">
        <v>381</v>
      </c>
      <c r="N38" s="166"/>
      <c r="O38" s="170"/>
    </row>
    <row r="39" spans="1:15" x14ac:dyDescent="0.35">
      <c r="A39" s="183"/>
      <c r="B39" s="46" t="s">
        <v>414</v>
      </c>
      <c r="C39" s="17" t="s">
        <v>367</v>
      </c>
      <c r="D39" s="46" t="s">
        <v>18</v>
      </c>
      <c r="E39" s="40"/>
      <c r="F39" s="32" t="s">
        <v>416</v>
      </c>
      <c r="G39" s="51">
        <f ca="1">IF(VLOOKUP("PARAM_INT_IFP_TRIPLE_RDD_DIS", INDIRECT(Config!$B$1), HLOOKUP(D$1, INDIRECT(Config!$E$1), 2, FALSE),FALSE)=0, VLOOKUP("TRC_PRESENT", INDIRECT(Config!$B$1), HLOOKUP(D$1, INDIRECT(Config!$E$1), 2, FALSE),FALSE)*32, 0)</f>
        <v>0</v>
      </c>
      <c r="H39" s="17" t="s">
        <v>421</v>
      </c>
      <c r="I39" s="17" t="str">
        <f>CONCATENATE("0x",DEC2HEX(HEX2DEC(SUBSTITUTE(I27,"0x",""))+HEX2DEC(SUBSTITUTE(H39,"0x",""))))</f>
        <v>0xF00B0C44</v>
      </c>
      <c r="J39" s="17" t="s">
        <v>399</v>
      </c>
      <c r="K39" s="17" t="s">
        <v>399</v>
      </c>
      <c r="L39" s="84" t="str">
        <f ca="1">IF(VLOOKUP("EXT_FUSE_PULL_SUPP", INDIRECT(Config!$B$1),HLOOKUP(D$1,INDIRECT(Config!$E$1),2,FALSE),FALSE)=1, IF(G39&gt;0,CONCATENATE("GSK_TRC_DIS_COPY2[",G39-1,":0]"),""), "")</f>
        <v/>
      </c>
      <c r="M39" s="184"/>
      <c r="N39" s="166"/>
      <c r="O39" s="170"/>
    </row>
    <row r="40" spans="1:15" x14ac:dyDescent="0.35">
      <c r="A40" s="183"/>
      <c r="B40" s="46" t="s">
        <v>377</v>
      </c>
      <c r="C40" s="17" t="s">
        <v>375</v>
      </c>
      <c r="D40" s="46" t="s">
        <v>564</v>
      </c>
      <c r="E40" s="40"/>
      <c r="F40" s="32" t="s">
        <v>416</v>
      </c>
      <c r="G40" s="51">
        <f ca="1">IF(VLOOKUP("PARAM_INT_IFP_TRIPLE_RDD_DIS", INDIRECT(Config!$B$1), HLOOKUP(D$1, INDIRECT(Config!$E$1), 2, FALSE),FALSE)=0, VLOOKUP("OEM_SECRET_KEY_FUSES_LIMIT", INDIRECT(Config!$B$1), HLOOKUP(D$1, INDIRECT(Config!$E$1), 2, FALSE),FALSE)*32, 0)</f>
        <v>0</v>
      </c>
      <c r="H40" s="17" t="s">
        <v>419</v>
      </c>
      <c r="I40" s="17" t="str">
        <f>CONCATENATE("0x",DEC2HEX(HEX2DEC(SUBSTITUTE(I27,"0x",""))+HEX2DEC(SUBSTITUTE(H40,"0x",""))))</f>
        <v>0xF00B0C80</v>
      </c>
      <c r="J40" s="17" t="s">
        <v>399</v>
      </c>
      <c r="K40" s="17" t="s">
        <v>399</v>
      </c>
      <c r="L40" s="84" t="str">
        <f ca="1">IF(VLOOKUP("EXT_FUSE_PULL_SUPP", INDIRECT(Config!$B$1),HLOOKUP(D$1,INDIRECT(Config!$E$1),2,FALSE),FALSE)=1, IF(G40&gt;0,CONCATENATE("GSK_OEM_SECRET_KEYS_DWn_COPY2[",G40-1,":0]"),""), "")</f>
        <v/>
      </c>
      <c r="M40" s="184"/>
      <c r="N40" s="166"/>
      <c r="O40" s="170"/>
    </row>
    <row r="41" spans="1:15" ht="15" thickBot="1" x14ac:dyDescent="0.4">
      <c r="A41" s="186"/>
      <c r="B41" s="112" t="s">
        <v>635</v>
      </c>
      <c r="C41" s="112" t="s">
        <v>685</v>
      </c>
      <c r="D41" s="112"/>
      <c r="E41" s="137"/>
      <c r="F41" s="118" t="s">
        <v>416</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427</v>
      </c>
      <c r="I41" s="143" t="str">
        <f>CONCATENATE("0x",DEC2HEX(HEX2DEC(SUBSTITUTE(I27,"0x",""))+HEX2DEC(SUBSTITUTE(H41,"0x",""))))</f>
        <v>0xF00B0D00</v>
      </c>
      <c r="J41" s="144" t="s">
        <v>399</v>
      </c>
      <c r="K41" s="143" t="s">
        <v>399</v>
      </c>
      <c r="L41" s="143" t="str">
        <f ca="1">IF(VLOOKUP("EXT_FUSE_PULL_SUPP", INDIRECT(Config!$B$1),HLOOKUP(D$1,INDIRECT(Config!$E$1),2,FALSE),FALSE)=1, IF(G41&gt;0,CONCATENATE("CSME_HW_IFP_FUSES_COPY2[",G41-1,":0]"),""), "")</f>
        <v/>
      </c>
      <c r="M41" s="144" t="s">
        <v>50</v>
      </c>
      <c r="N41" s="167"/>
      <c r="O41" s="171"/>
    </row>
    <row r="42" spans="1:15" ht="15" customHeight="1" x14ac:dyDescent="0.35"/>
    <row r="43" spans="1:15" ht="15" customHeight="1" x14ac:dyDescent="0.35"/>
    <row r="44" spans="1:15" ht="15" customHeight="1" x14ac:dyDescent="0.35"/>
    <row r="45" spans="1:15" ht="15" customHeight="1" x14ac:dyDescent="0.35"/>
  </sheetData>
  <mergeCells count="23">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A27:A41"/>
    <mergeCell ref="N27:N41"/>
    <mergeCell ref="O27:O41"/>
    <mergeCell ref="M28:M30"/>
    <mergeCell ref="M33:M35"/>
    <mergeCell ref="M38:M40"/>
  </mergeCells>
  <conditionalFormatting sqref="C5">
    <cfRule type="cellIs" dxfId="251" priority="89" operator="equal">
      <formula>0</formula>
    </cfRule>
  </conditionalFormatting>
  <conditionalFormatting sqref="J27">
    <cfRule type="cellIs" dxfId="250" priority="105" operator="equal">
      <formula>0</formula>
    </cfRule>
  </conditionalFormatting>
  <conditionalFormatting sqref="C3">
    <cfRule type="cellIs" dxfId="249" priority="91" operator="equal">
      <formula>0</formula>
    </cfRule>
  </conditionalFormatting>
  <conditionalFormatting sqref="C4">
    <cfRule type="cellIs" dxfId="248" priority="90" operator="equal">
      <formula>0</formula>
    </cfRule>
  </conditionalFormatting>
  <conditionalFormatting sqref="B3 J4 J12 D3:J3 G4:G25">
    <cfRule type="cellIs" dxfId="247" priority="102" operator="equal">
      <formula>0</formula>
    </cfRule>
  </conditionalFormatting>
  <conditionalFormatting sqref="B4 H4:I4 D4:F4">
    <cfRule type="cellIs" dxfId="246" priority="101" operator="equal">
      <formula>0</formula>
    </cfRule>
  </conditionalFormatting>
  <conditionalFormatting sqref="B5 I5 D5:F5">
    <cfRule type="cellIs" dxfId="245" priority="100" operator="equal">
      <formula>0</formula>
    </cfRule>
  </conditionalFormatting>
  <conditionalFormatting sqref="B7 I7 F7">
    <cfRule type="cellIs" dxfId="244" priority="99" operator="equal">
      <formula>0</formula>
    </cfRule>
  </conditionalFormatting>
  <conditionalFormatting sqref="B8 H8:I8 D8:F8">
    <cfRule type="cellIs" priority="98" operator="equal">
      <formula>0</formula>
    </cfRule>
  </conditionalFormatting>
  <conditionalFormatting sqref="B9 H9:I9 D9:F9">
    <cfRule type="cellIs" dxfId="243" priority="97" operator="equal">
      <formula>0</formula>
    </cfRule>
  </conditionalFormatting>
  <conditionalFormatting sqref="B10 I10 D10:F10">
    <cfRule type="cellIs" dxfId="242" priority="95" operator="equal">
      <formula>0</formula>
    </cfRule>
    <cfRule type="cellIs" dxfId="241" priority="96" operator="equal">
      <formula>0</formula>
    </cfRule>
  </conditionalFormatting>
  <conditionalFormatting sqref="K12 K3:L4">
    <cfRule type="cellIs" dxfId="240" priority="94" operator="equal">
      <formula>0</formula>
    </cfRule>
  </conditionalFormatting>
  <conditionalFormatting sqref="B6 I6 D6:F6">
    <cfRule type="cellIs" dxfId="239" priority="93" operator="equal">
      <formula>0</formula>
    </cfRule>
  </conditionalFormatting>
  <conditionalFormatting sqref="D7:E7">
    <cfRule type="cellIs" dxfId="238" priority="92" operator="equal">
      <formula>0</formula>
    </cfRule>
  </conditionalFormatting>
  <conditionalFormatting sqref="C7">
    <cfRule type="cellIs" dxfId="237" priority="88" operator="equal">
      <formula>0</formula>
    </cfRule>
  </conditionalFormatting>
  <conditionalFormatting sqref="C8">
    <cfRule type="cellIs" priority="87" operator="equal">
      <formula>0</formula>
    </cfRule>
  </conditionalFormatting>
  <conditionalFormatting sqref="C9">
    <cfRule type="cellIs" dxfId="236" priority="86" operator="equal">
      <formula>0</formula>
    </cfRule>
  </conditionalFormatting>
  <conditionalFormatting sqref="C10">
    <cfRule type="cellIs" dxfId="235" priority="84" operator="equal">
      <formula>0</formula>
    </cfRule>
    <cfRule type="cellIs" dxfId="234" priority="85" operator="equal">
      <formula>0</formula>
    </cfRule>
  </conditionalFormatting>
  <conditionalFormatting sqref="C6">
    <cfRule type="cellIs" dxfId="233" priority="83" operator="equal">
      <formula>0</formula>
    </cfRule>
  </conditionalFormatting>
  <conditionalFormatting sqref="J5">
    <cfRule type="cellIs" dxfId="232" priority="71" operator="equal">
      <formula>0</formula>
    </cfRule>
  </conditionalFormatting>
  <conditionalFormatting sqref="K5">
    <cfRule type="cellIs" dxfId="231" priority="70" operator="equal">
      <formula>0</formula>
    </cfRule>
  </conditionalFormatting>
  <conditionalFormatting sqref="J6">
    <cfRule type="cellIs" dxfId="230" priority="69" operator="equal">
      <formula>0</formula>
    </cfRule>
  </conditionalFormatting>
  <conditionalFormatting sqref="K6">
    <cfRule type="cellIs" dxfId="229" priority="68" operator="equal">
      <formula>0</formula>
    </cfRule>
  </conditionalFormatting>
  <conditionalFormatting sqref="J9">
    <cfRule type="cellIs" dxfId="228" priority="67" operator="equal">
      <formula>0</formula>
    </cfRule>
  </conditionalFormatting>
  <conditionalFormatting sqref="K9">
    <cfRule type="cellIs" dxfId="227" priority="66" operator="equal">
      <formula>0</formula>
    </cfRule>
  </conditionalFormatting>
  <conditionalFormatting sqref="J10">
    <cfRule type="cellIs" dxfId="226" priority="65" operator="equal">
      <formula>0</formula>
    </cfRule>
  </conditionalFormatting>
  <conditionalFormatting sqref="K10">
    <cfRule type="cellIs" dxfId="225" priority="64" operator="equal">
      <formula>0</formula>
    </cfRule>
  </conditionalFormatting>
  <conditionalFormatting sqref="J11">
    <cfRule type="cellIs" dxfId="224" priority="63" operator="equal">
      <formula>0</formula>
    </cfRule>
  </conditionalFormatting>
  <conditionalFormatting sqref="K11">
    <cfRule type="cellIs" dxfId="223" priority="62" operator="equal">
      <formula>0</formula>
    </cfRule>
  </conditionalFormatting>
  <conditionalFormatting sqref="J7">
    <cfRule type="cellIs" dxfId="222" priority="61" operator="equal">
      <formula>0</formula>
    </cfRule>
  </conditionalFormatting>
  <conditionalFormatting sqref="K7">
    <cfRule type="cellIs" dxfId="221" priority="60" operator="equal">
      <formula>0</formula>
    </cfRule>
  </conditionalFormatting>
  <conditionalFormatting sqref="J8">
    <cfRule type="cellIs" dxfId="220" priority="59" operator="equal">
      <formula>0</formula>
    </cfRule>
  </conditionalFormatting>
  <conditionalFormatting sqref="K8">
    <cfRule type="cellIs" dxfId="219" priority="58" operator="equal">
      <formula>0</formula>
    </cfRule>
  </conditionalFormatting>
  <conditionalFormatting sqref="H5">
    <cfRule type="cellIs" dxfId="218" priority="57" operator="equal">
      <formula>0</formula>
    </cfRule>
  </conditionalFormatting>
  <conditionalFormatting sqref="H6">
    <cfRule type="cellIs" dxfId="217" priority="56" operator="equal">
      <formula>0</formula>
    </cfRule>
  </conditionalFormatting>
  <conditionalFormatting sqref="H7">
    <cfRule type="cellIs" dxfId="216" priority="55" operator="equal">
      <formula>0</formula>
    </cfRule>
  </conditionalFormatting>
  <conditionalFormatting sqref="H12">
    <cfRule type="cellIs" dxfId="215" priority="52" operator="equal">
      <formula>0</formula>
    </cfRule>
  </conditionalFormatting>
  <conditionalFormatting sqref="H10">
    <cfRule type="cellIs" dxfId="214" priority="54" operator="equal">
      <formula>0</formula>
    </cfRule>
  </conditionalFormatting>
  <conditionalFormatting sqref="H11">
    <cfRule type="cellIs" dxfId="213" priority="53" operator="equal">
      <formula>0</formula>
    </cfRule>
  </conditionalFormatting>
  <conditionalFormatting sqref="L5">
    <cfRule type="cellIs" dxfId="212" priority="51" operator="equal">
      <formula>0</formula>
    </cfRule>
  </conditionalFormatting>
  <conditionalFormatting sqref="L6">
    <cfRule type="cellIs" dxfId="211" priority="50" operator="equal">
      <formula>0</formula>
    </cfRule>
  </conditionalFormatting>
  <conditionalFormatting sqref="L7">
    <cfRule type="cellIs" dxfId="210" priority="49" operator="equal">
      <formula>0</formula>
    </cfRule>
  </conditionalFormatting>
  <conditionalFormatting sqref="L8:L9">
    <cfRule type="cellIs" dxfId="209" priority="48" operator="equal">
      <formula>0</formula>
    </cfRule>
  </conditionalFormatting>
  <conditionalFormatting sqref="L10">
    <cfRule type="cellIs" dxfId="208" priority="47" operator="equal">
      <formula>0</formula>
    </cfRule>
  </conditionalFormatting>
  <conditionalFormatting sqref="L11">
    <cfRule type="cellIs" dxfId="207" priority="46" operator="equal">
      <formula>0</formula>
    </cfRule>
  </conditionalFormatting>
  <conditionalFormatting sqref="L12">
    <cfRule type="cellIs" dxfId="206" priority="45" operator="equal">
      <formula>0</formula>
    </cfRule>
  </conditionalFormatting>
  <conditionalFormatting sqref="L31">
    <cfRule type="cellIs" dxfId="205" priority="44" operator="equal">
      <formula>0</formula>
    </cfRule>
  </conditionalFormatting>
  <conditionalFormatting sqref="L30">
    <cfRule type="cellIs" dxfId="204" priority="43" operator="equal">
      <formula>0</formula>
    </cfRule>
  </conditionalFormatting>
  <conditionalFormatting sqref="L29">
    <cfRule type="cellIs" dxfId="203" priority="42" operator="equal">
      <formula>0</formula>
    </cfRule>
  </conditionalFormatting>
  <conditionalFormatting sqref="L28">
    <cfRule type="cellIs" dxfId="202" priority="41" operator="equal">
      <formula>0</formula>
    </cfRule>
  </conditionalFormatting>
  <conditionalFormatting sqref="L36">
    <cfRule type="cellIs" dxfId="201" priority="40" operator="equal">
      <formula>0</formula>
    </cfRule>
  </conditionalFormatting>
  <conditionalFormatting sqref="L35">
    <cfRule type="cellIs" dxfId="200" priority="39" operator="equal">
      <formula>0</formula>
    </cfRule>
  </conditionalFormatting>
  <conditionalFormatting sqref="L34">
    <cfRule type="cellIs" dxfId="199" priority="38" operator="equal">
      <formula>0</formula>
    </cfRule>
  </conditionalFormatting>
  <conditionalFormatting sqref="L33">
    <cfRule type="cellIs" dxfId="198" priority="37" operator="equal">
      <formula>0</formula>
    </cfRule>
  </conditionalFormatting>
  <conditionalFormatting sqref="L41">
    <cfRule type="cellIs" dxfId="197" priority="36" operator="equal">
      <formula>0</formula>
    </cfRule>
  </conditionalFormatting>
  <conditionalFormatting sqref="L40">
    <cfRule type="cellIs" dxfId="196" priority="35" operator="equal">
      <formula>0</formula>
    </cfRule>
  </conditionalFormatting>
  <conditionalFormatting sqref="L39">
    <cfRule type="cellIs" dxfId="195" priority="34" operator="equal">
      <formula>0</formula>
    </cfRule>
  </conditionalFormatting>
  <conditionalFormatting sqref="L38">
    <cfRule type="cellIs" dxfId="194" priority="33" operator="equal">
      <formula>0</formula>
    </cfRule>
  </conditionalFormatting>
  <conditionalFormatting sqref="L13">
    <cfRule type="cellIs" dxfId="193" priority="32" operator="equal">
      <formula>0</formula>
    </cfRule>
  </conditionalFormatting>
  <conditionalFormatting sqref="L14">
    <cfRule type="cellIs" dxfId="192" priority="31" operator="equal">
      <formula>0</formula>
    </cfRule>
  </conditionalFormatting>
  <conditionalFormatting sqref="L15">
    <cfRule type="cellIs" dxfId="191" priority="30" operator="equal">
      <formula>0</formula>
    </cfRule>
  </conditionalFormatting>
  <conditionalFormatting sqref="L16">
    <cfRule type="cellIs" dxfId="190" priority="29" operator="equal">
      <formula>0</formula>
    </cfRule>
  </conditionalFormatting>
  <conditionalFormatting sqref="L17">
    <cfRule type="cellIs" dxfId="189" priority="28" operator="equal">
      <formula>0</formula>
    </cfRule>
  </conditionalFormatting>
  <conditionalFormatting sqref="L18">
    <cfRule type="cellIs" dxfId="188" priority="27" operator="equal">
      <formula>0</formula>
    </cfRule>
  </conditionalFormatting>
  <conditionalFormatting sqref="L19">
    <cfRule type="cellIs" dxfId="187" priority="26" operator="equal">
      <formula>0</formula>
    </cfRule>
  </conditionalFormatting>
  <conditionalFormatting sqref="L20">
    <cfRule type="cellIs" dxfId="186" priority="25" operator="equal">
      <formula>0</formula>
    </cfRule>
  </conditionalFormatting>
  <conditionalFormatting sqref="L21">
    <cfRule type="cellIs" dxfId="185" priority="24" operator="equal">
      <formula>0</formula>
    </cfRule>
  </conditionalFormatting>
  <conditionalFormatting sqref="L22">
    <cfRule type="cellIs" dxfId="184" priority="23" operator="equal">
      <formula>0</formula>
    </cfRule>
  </conditionalFormatting>
  <conditionalFormatting sqref="L23">
    <cfRule type="cellIs" dxfId="183" priority="22" operator="equal">
      <formula>0</formula>
    </cfRule>
  </conditionalFormatting>
  <conditionalFormatting sqref="J24">
    <cfRule type="cellIs" dxfId="182" priority="21" operator="equal">
      <formula>0</formula>
    </cfRule>
  </conditionalFormatting>
  <conditionalFormatting sqref="K24">
    <cfRule type="cellIs" dxfId="181" priority="20" operator="equal">
      <formula>0</formula>
    </cfRule>
  </conditionalFormatting>
  <conditionalFormatting sqref="J25">
    <cfRule type="cellIs" dxfId="180" priority="19" operator="equal">
      <formula>0</formula>
    </cfRule>
  </conditionalFormatting>
  <conditionalFormatting sqref="K25">
    <cfRule type="cellIs" dxfId="179" priority="18" operator="equal">
      <formula>0</formula>
    </cfRule>
  </conditionalFormatting>
  <conditionalFormatting sqref="G33">
    <cfRule type="cellIs" dxfId="178" priority="15" operator="equal">
      <formula>0</formula>
    </cfRule>
  </conditionalFormatting>
  <conditionalFormatting sqref="G35">
    <cfRule type="cellIs" dxfId="177" priority="14" operator="equal">
      <formula>0</formula>
    </cfRule>
  </conditionalFormatting>
  <conditionalFormatting sqref="G28">
    <cfRule type="cellIs" dxfId="176" priority="8" operator="equal">
      <formula>0</formula>
    </cfRule>
  </conditionalFormatting>
  <conditionalFormatting sqref="G31">
    <cfRule type="cellIs" dxfId="175" priority="12" operator="equal">
      <formula>0</formula>
    </cfRule>
  </conditionalFormatting>
  <conditionalFormatting sqref="G32">
    <cfRule type="cellIs" dxfId="174" priority="11" operator="equal">
      <formula>0</formula>
    </cfRule>
  </conditionalFormatting>
  <conditionalFormatting sqref="G27">
    <cfRule type="cellIs" dxfId="173" priority="13" operator="equal">
      <formula>0</formula>
    </cfRule>
  </conditionalFormatting>
  <conditionalFormatting sqref="G37">
    <cfRule type="cellIs" dxfId="172" priority="10" operator="equal">
      <formula>0</formula>
    </cfRule>
  </conditionalFormatting>
  <conditionalFormatting sqref="G34">
    <cfRule type="cellIs" dxfId="171" priority="9" operator="equal">
      <formula>0</formula>
    </cfRule>
  </conditionalFormatting>
  <conditionalFormatting sqref="G30">
    <cfRule type="cellIs" dxfId="170" priority="7" operator="equal">
      <formula>0</formula>
    </cfRule>
  </conditionalFormatting>
  <conditionalFormatting sqref="G29">
    <cfRule type="cellIs" dxfId="169" priority="6" operator="equal">
      <formula>0</formula>
    </cfRule>
  </conditionalFormatting>
  <conditionalFormatting sqref="G38">
    <cfRule type="cellIs" dxfId="168" priority="5" operator="equal">
      <formula>0</formula>
    </cfRule>
  </conditionalFormatting>
  <conditionalFormatting sqref="G40">
    <cfRule type="cellIs" dxfId="167" priority="4" operator="equal">
      <formula>0</formula>
    </cfRule>
  </conditionalFormatting>
  <conditionalFormatting sqref="G39">
    <cfRule type="cellIs" dxfId="166" priority="3" operator="equal">
      <formula>0</formula>
    </cfRule>
  </conditionalFormatting>
  <conditionalFormatting sqref="G36">
    <cfRule type="cellIs" dxfId="165" priority="2" operator="equal">
      <formula>0</formula>
    </cfRule>
  </conditionalFormatting>
  <conditionalFormatting sqref="G41">
    <cfRule type="cellIs" dxfId="164"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5"/>
  <sheetViews>
    <sheetView zoomScaleNormal="100" workbookViewId="0">
      <selection activeCell="J11" sqref="J11"/>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customWidth="1"/>
    <col min="9"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412</v>
      </c>
      <c r="C1" s="29"/>
      <c r="D1" s="30" t="s">
        <v>624</v>
      </c>
      <c r="E1" s="30"/>
    </row>
    <row r="2" spans="1:15" ht="15" customHeight="1" thickBot="1" x14ac:dyDescent="0.4">
      <c r="A2" s="37" t="s">
        <v>0</v>
      </c>
      <c r="B2" s="43" t="s">
        <v>1</v>
      </c>
      <c r="C2" s="43" t="s">
        <v>383</v>
      </c>
      <c r="D2" s="43" t="s">
        <v>2</v>
      </c>
      <c r="E2" s="38" t="s">
        <v>436</v>
      </c>
      <c r="F2" s="86" t="s">
        <v>3</v>
      </c>
      <c r="G2" s="87" t="s">
        <v>4</v>
      </c>
      <c r="H2" s="87" t="s">
        <v>5</v>
      </c>
      <c r="I2" s="87" t="s">
        <v>6</v>
      </c>
      <c r="J2" s="87" t="s">
        <v>397</v>
      </c>
      <c r="K2" s="87" t="s">
        <v>398</v>
      </c>
      <c r="L2" s="87" t="s">
        <v>638</v>
      </c>
      <c r="M2" s="87" t="s">
        <v>7</v>
      </c>
      <c r="N2" s="87" t="s">
        <v>8</v>
      </c>
      <c r="O2" s="121" t="s">
        <v>640</v>
      </c>
    </row>
    <row r="3" spans="1:15" ht="15" customHeight="1" x14ac:dyDescent="0.35">
      <c r="A3" s="164" t="s">
        <v>9</v>
      </c>
      <c r="B3" s="58" t="s">
        <v>407</v>
      </c>
      <c r="C3" s="58" t="s">
        <v>407</v>
      </c>
      <c r="D3" s="58" t="s">
        <v>10</v>
      </c>
      <c r="E3" s="44"/>
      <c r="F3" s="138" t="s">
        <v>11</v>
      </c>
      <c r="G3" s="80">
        <f ca="1">IF($C3="No Param",32,VLOOKUP($C3,INDIRECT(Config!$B$1),HLOOKUP(D$1,INDIRECT(Config!$E$1),2,FALSE),FALSE))</f>
        <v>512</v>
      </c>
      <c r="H3" s="31" t="s">
        <v>12</v>
      </c>
      <c r="I3" s="31" t="s">
        <v>13</v>
      </c>
      <c r="J3" s="31" t="s">
        <v>399</v>
      </c>
      <c r="K3" s="31" t="s">
        <v>399</v>
      </c>
      <c r="L3" s="31" t="str">
        <f ca="1">IF(VLOOKUP("EXT_FUSE_PULL_SUPP", INDIRECT(Config!$B$1),HLOOKUP(D$1,INDIRECT(Config!$E$1),2,FALSE),FALSE)=1, IF(G3&gt;0,CONCATENATE("CSME_Security_keys[",G3-1,":0]"), ""), "")</f>
        <v>CSME_Security_keys[511:0]</v>
      </c>
      <c r="M3" s="165" t="s">
        <v>379</v>
      </c>
      <c r="N3" s="168" t="s">
        <v>14</v>
      </c>
      <c r="O3" s="169">
        <f ca="1">($G3+$G4+$G5+$G6+$G7)</f>
        <v>801</v>
      </c>
    </row>
    <row r="4" spans="1:15" ht="15" customHeight="1" x14ac:dyDescent="0.35">
      <c r="A4" s="164"/>
      <c r="B4" s="46" t="s">
        <v>408</v>
      </c>
      <c r="C4" s="46" t="s">
        <v>408</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399</v>
      </c>
      <c r="K4" s="17" t="s">
        <v>399</v>
      </c>
      <c r="L4" s="84" t="str">
        <f ca="1">IF(VLOOKUP("EXT_FUSE_PULL_SUPP", INDIRECT(Config!$B$1),HLOOKUP(D$1,INDIRECT(Config!$E$1),2,FALSE),FALSE)=1, IF(G4&gt;0,CONCATENATE("CSME_Security_Keys_Fuse_Check_Hash[",G4-1,":0]"), ""), "")</f>
        <v>CSME_Security_Keys_Fuse_Check_Hash[31:0]</v>
      </c>
      <c r="M4" s="166"/>
      <c r="N4" s="166"/>
      <c r="O4" s="170"/>
    </row>
    <row r="5" spans="1:15" ht="15" customHeight="1" x14ac:dyDescent="0.35">
      <c r="A5" s="164"/>
      <c r="B5" s="46" t="s">
        <v>409</v>
      </c>
      <c r="C5" s="46" t="s">
        <v>409</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399</v>
      </c>
      <c r="K5" s="17" t="s">
        <v>399</v>
      </c>
      <c r="L5" s="84" t="str">
        <f ca="1">IF(VLOOKUP("EXT_FUSE_PULL_SUPP", INDIRECT(Config!$B$1),HLOOKUP(D$1,INDIRECT(Config!$E$1),2,FALSE),FALSE)=1, IF(G5&gt;0,CONCATENATE("CSME_Debug_Enabled_Security_Key[",G5-1,":0]"),""), "")</f>
        <v>CSME_Debug_Enabled_Security_Key[255:0]</v>
      </c>
      <c r="M5" s="166"/>
      <c r="N5" s="166"/>
      <c r="O5" s="170"/>
    </row>
    <row r="6" spans="1:15" ht="15" customHeight="1" x14ac:dyDescent="0.35">
      <c r="A6" s="164"/>
      <c r="B6" s="90" t="s">
        <v>410</v>
      </c>
      <c r="C6" s="90" t="s">
        <v>410</v>
      </c>
      <c r="D6" s="46" t="s">
        <v>15</v>
      </c>
      <c r="E6" s="46"/>
      <c r="F6" s="89" t="s">
        <v>11</v>
      </c>
      <c r="G6" s="51">
        <f ca="1">IF($C6="No Param",32,VLOOKUP($C6,INDIRECT(Config!$B$1),HLOOKUP(D$1,INDIRECT(Config!$E$1),2,FALSE),FALSE))</f>
        <v>0</v>
      </c>
      <c r="H6" s="17" t="str">
        <f ca="1">IF(G6=0, "N/A", CONCATENATE("0x",DEC2HEX(HEX2DEC(SUBSTITUTE(H3,"0x",""))+(G3+G4+G5)/8)))</f>
        <v>N/A</v>
      </c>
      <c r="I6" s="17" t="str">
        <f ca="1">CONCATENATE("0x",DEC2HEX(HEX2DEC(SUBSTITUTE(I5,"0x",""))+G5/8))</f>
        <v>0xF00B0064</v>
      </c>
      <c r="J6" s="17" t="s">
        <v>399</v>
      </c>
      <c r="K6" s="17" t="s">
        <v>399</v>
      </c>
      <c r="L6" s="84" t="str">
        <f ca="1">IF(VLOOKUP("EXT_FUSE_PULL_SUPP", INDIRECT(Config!$B$1),HLOOKUP(D$1,INDIRECT(Config!$E$1),2,FALSE),FALSE)=1, IF(G6&gt;0,CONCATENATE("CSME_Debug_Encryption_Security_Key[",G6-1,":0]"),""), "")</f>
        <v/>
      </c>
      <c r="M6" s="166"/>
      <c r="N6" s="166"/>
      <c r="O6" s="170"/>
    </row>
    <row r="7" spans="1:15" ht="15" customHeight="1" thickBot="1" x14ac:dyDescent="0.4">
      <c r="A7" s="164"/>
      <c r="B7" s="91" t="s">
        <v>434</v>
      </c>
      <c r="C7" s="99" t="s">
        <v>434</v>
      </c>
      <c r="D7" s="96" t="s">
        <v>10</v>
      </c>
      <c r="E7" s="96"/>
      <c r="F7" s="98" t="s">
        <v>11</v>
      </c>
      <c r="G7" s="97">
        <f ca="1">IF($C7="No Param",32,VLOOKUP($C7,INDIRECT(Config!$B$1),HLOOKUP(D$1,INDIRECT(Config!$E$1),2,FALSE),FALSE))</f>
        <v>1</v>
      </c>
      <c r="H7" s="33" t="str">
        <f ca="1">IF(G7=0, "N/A", CONCATENATE("0x",DEC2HEX(HEX2DEC(SUBSTITUTE(H3,"0x",""))+(G3+G4+G5+G6)/8)))</f>
        <v>0x6064</v>
      </c>
      <c r="I7" s="33" t="str">
        <f ca="1">CONCATENATE("0x",DEC2HEX(HEX2DEC(SUBSTITUTE(I6,"0x",""))+G6/8))</f>
        <v>0xF00B0064</v>
      </c>
      <c r="J7" s="33" t="s">
        <v>399</v>
      </c>
      <c r="K7" s="33" t="s">
        <v>399</v>
      </c>
      <c r="L7" s="56" t="str">
        <f ca="1">IF(VLOOKUP("EXT_FUSE_PULL_SUPP", INDIRECT(Config!$B$1),HLOOKUP(D$1,INDIRECT(Config!$E$1),2,FALSE),FALSE)=1, IF(G7&gt;0,CONCATENATE("Security_Fuses_Valid[",G7-1,":0]"),""), "")</f>
        <v>Security_Fuses_Valid[0:0]</v>
      </c>
      <c r="M7" s="167"/>
      <c r="N7" s="167"/>
      <c r="O7" s="171"/>
    </row>
    <row r="8" spans="1:15" x14ac:dyDescent="0.35">
      <c r="A8" s="34" t="s">
        <v>16</v>
      </c>
      <c r="B8" s="92" t="s">
        <v>17</v>
      </c>
      <c r="C8" s="92" t="s">
        <v>17</v>
      </c>
      <c r="D8" s="44" t="s">
        <v>18</v>
      </c>
      <c r="E8" s="58"/>
      <c r="F8" s="88" t="s">
        <v>19</v>
      </c>
      <c r="G8" s="85">
        <f ca="1">IF($C8="No Param",32,VLOOKUP($C8,INDIRECT(Config!$B$1),HLOOKUP(D$1,INDIRECT(Config!$E$1),2,FALSE),FALSE))</f>
        <v>768</v>
      </c>
      <c r="H8" s="84" t="s">
        <v>572</v>
      </c>
      <c r="I8" s="84" t="s">
        <v>20</v>
      </c>
      <c r="J8" s="84" t="s">
        <v>399</v>
      </c>
      <c r="K8" s="84" t="s">
        <v>399</v>
      </c>
      <c r="L8" s="84" t="str">
        <f ca="1">IF(VLOOKUP("EXT_FUSE_PULL_SUPP", INDIRECT(Config!$B$1),HLOOKUP(D$1,INDIRECT(Config!$E$1),2,FALSE),FALSE)=1, IF(G8&gt;0,CONCATENATE("CSME_ECC_P384_ONDIE_ROM_CERT[",G8-1,":0]"), ""), "")</f>
        <v>CSME_ECC_P384_ONDIE_ROM_CERT[767:0]</v>
      </c>
      <c r="M8" s="172" t="s">
        <v>380</v>
      </c>
      <c r="N8" s="175" t="s">
        <v>21</v>
      </c>
      <c r="O8" s="177">
        <f ca="1">($G8+$G9+$G10+$G12)</f>
        <v>992</v>
      </c>
    </row>
    <row r="9" spans="1:15" s="214" customFormat="1" x14ac:dyDescent="0.35">
      <c r="A9" s="179" t="s">
        <v>22</v>
      </c>
      <c r="B9" s="208" t="s">
        <v>411</v>
      </c>
      <c r="C9" s="208" t="s">
        <v>411</v>
      </c>
      <c r="D9" s="209" t="s">
        <v>18</v>
      </c>
      <c r="E9" s="209"/>
      <c r="F9" s="210" t="s">
        <v>19</v>
      </c>
      <c r="G9" s="211">
        <f ca="1">IF($C9="No Param",32,VLOOKUP($C9,INDIRECT(Config!$B$1),HLOOKUP(D$1,INDIRECT(Config!$E$1),2,FALSE),FALSE))</f>
        <v>192</v>
      </c>
      <c r="H9" s="212" t="str">
        <f ca="1">IF(G9=0, "N/A", CONCATENATE("0x",DEC2HEX(HEX2DEC(SUBSTITUTE(H8,"0x",""))+G8/8)))</f>
        <v>0x6860</v>
      </c>
      <c r="I9" s="212" t="str">
        <f ca="1">CONCATENATE("0x",DEC2HEX(HEX2DEC(SUBSTITUTE(I8,"0x",""))+G8/8))</f>
        <v>0xF00B0460</v>
      </c>
      <c r="J9" s="212" t="s">
        <v>399</v>
      </c>
      <c r="K9" s="212" t="s">
        <v>399</v>
      </c>
      <c r="L9" s="213" t="str">
        <f ca="1">IF(VLOOKUP("EXT_FUSE_PULL_SUPP", INDIRECT(Config!$B$1),HLOOKUP(D$1,INDIRECT(Config!$E$1),2,FALSE),FALSE)=1, IF(G9&gt;0,CONCATENATE("FW_CFG_FUSES [",G9-1,":0]"), ""), "")</f>
        <v>FW_CFG_FUSES [191:0]</v>
      </c>
      <c r="M9" s="173"/>
      <c r="N9" s="166"/>
      <c r="O9" s="170"/>
    </row>
    <row r="10" spans="1:15" x14ac:dyDescent="0.35">
      <c r="A10" s="180"/>
      <c r="B10" s="217" t="s">
        <v>24</v>
      </c>
      <c r="C10" s="217" t="s">
        <v>24</v>
      </c>
      <c r="D10" s="218" t="s">
        <v>18</v>
      </c>
      <c r="E10" s="218"/>
      <c r="F10" s="219" t="s">
        <v>19</v>
      </c>
      <c r="G10" s="220">
        <f ca="1">IF($C10="No Param",32,VLOOKUP($C10,INDIRECT(Config!$B$1),HLOOKUP(D$1,INDIRECT(Config!$E$1),2,FALSE),FALSE))</f>
        <v>32</v>
      </c>
      <c r="H10" s="221" t="str">
        <f ca="1">IF(G10=0, "N/A", CONCATENATE("0x",DEC2HEX(HEX2DEC(SUBSTITUTE(H8,"0x",""))+(G8+G9)/8)))</f>
        <v>0x6878</v>
      </c>
      <c r="I10" s="221" t="str">
        <f ca="1">CONCATENATE("0x",DEC2HEX(HEX2DEC(SUBSTITUTE(I9,"0x",""))+G9/8))</f>
        <v>0xF00B0478</v>
      </c>
      <c r="J10" s="221" t="s">
        <v>399</v>
      </c>
      <c r="K10" s="221" t="s">
        <v>399</v>
      </c>
      <c r="L10" s="216" t="str">
        <f ca="1">IF(VLOOKUP("EXT_FUSE_PULL_SUPP", INDIRECT(Config!$B$1),HLOOKUP(D$1,INDIRECT(Config!$E$1),2,FALSE),FALSE)=1, IF(G10&gt;0,CONCATENATE("GENERAL_FW_FUSES_CHECK[",G10-1,":0]"),""), "")</f>
        <v>GENERAL_FW_FUSES_CHECK[31:0]</v>
      </c>
      <c r="M10" s="173"/>
      <c r="N10" s="166"/>
      <c r="O10" s="170"/>
    </row>
    <row r="11" spans="1:15" x14ac:dyDescent="0.35">
      <c r="A11" s="180"/>
      <c r="B11" s="63" t="s">
        <v>435</v>
      </c>
      <c r="C11" s="63" t="s">
        <v>435</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0xF00B047C</v>
      </c>
      <c r="J11" s="17" t="s">
        <v>399</v>
      </c>
      <c r="K11" s="17" t="s">
        <v>399</v>
      </c>
      <c r="L11" s="84" t="str">
        <f ca="1">IF(VLOOKUP("EXT_FUSE_PULL_SUPP", INDIRECT(Config!$B$1),HLOOKUP(D$1,INDIRECT(Config!$E$1),2,FALSE),FALSE)=1, IF(G11&gt;0,CONCATENATE("FW_Fuses_Valid[",G11-1,":0]"),""), "")</f>
        <v/>
      </c>
      <c r="M11" s="173"/>
      <c r="N11" s="166"/>
      <c r="O11" s="170"/>
    </row>
    <row r="12" spans="1:15" ht="15" thickBot="1" x14ac:dyDescent="0.4">
      <c r="A12" s="181"/>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0xF00B047C</v>
      </c>
      <c r="J12" s="104" t="s">
        <v>399</v>
      </c>
      <c r="K12" s="104" t="s">
        <v>399</v>
      </c>
      <c r="L12" s="120" t="str">
        <f ca="1">IF(VLOOKUP("EXT_FUSE_PULL_SUPP", INDIRECT(Config!$B$1),HLOOKUP(D$1,INDIRECT(Config!$E$1),2,FALSE),FALSE)=1, IF(G12&gt;0,CONCATENATE("HW_OCS_PUF_ECC[",G12-1,":0]"),""), "")</f>
        <v/>
      </c>
      <c r="M12" s="174"/>
      <c r="N12" s="176"/>
      <c r="O12" s="178"/>
    </row>
    <row r="13" spans="1:15" ht="15" customHeight="1" x14ac:dyDescent="0.35">
      <c r="A13" s="179" t="s">
        <v>25</v>
      </c>
      <c r="B13" s="44" t="s">
        <v>26</v>
      </c>
      <c r="C13" s="48" t="s">
        <v>626</v>
      </c>
      <c r="D13" s="182" t="s">
        <v>27</v>
      </c>
      <c r="E13" s="148"/>
      <c r="F13" s="138" t="s">
        <v>28</v>
      </c>
      <c r="G13" s="80">
        <f ca="1">IF($C13="No Param",32,VLOOKUP($C13,INDIRECT(Config!$B$1),HLOOKUP(D$1,INDIRECT(Config!$E$1),2,FALSE),FALSE)*32)</f>
        <v>32</v>
      </c>
      <c r="H13" s="31" t="s">
        <v>29</v>
      </c>
      <c r="I13" s="31" t="s">
        <v>30</v>
      </c>
      <c r="J13"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3"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3" s="207" t="str">
        <f ca="1">IF(VLOOKUP("EXT_FUSE_PULL_SUPP", INDIRECT(Config!$B$1),HLOOKUP(D$1,INDIRECT(Config!$E$1),2,FALSE),FALSE)=1, IF(G13&gt;0,CONCATENATE("CSME_HW_FW_Config_fuses[",G13-1,":0]"), ""), "")</f>
        <v>CSME_HW_FW_Config_fuses[31:0]</v>
      </c>
      <c r="M13" s="165" t="s">
        <v>381</v>
      </c>
      <c r="N13" s="168" t="s">
        <v>31</v>
      </c>
      <c r="O13" s="169">
        <f ca="1">(4*32+G17+G18+G19+G20+G21+G22)</f>
        <v>128</v>
      </c>
    </row>
    <row r="14" spans="1:15" x14ac:dyDescent="0.35">
      <c r="A14" s="180"/>
      <c r="B14" s="46" t="s">
        <v>32</v>
      </c>
      <c r="C14" s="49" t="s">
        <v>626</v>
      </c>
      <c r="D14" s="183"/>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4"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4" s="83" t="str">
        <f ca="1">IF(VLOOKUP("EXT_FUSE_PULL_SUPP", INDIRECT(Config!$B$1),HLOOKUP(D$1,INDIRECT(Config!$E$1),2,FALSE),FALSE)=1, IF(G14&gt;0,CONCATENATE("CSME_HW_FW_Config_fuses[",G14-1+G13,":",G13,"]"), ""), "")</f>
        <v>CSME_HW_FW_Config_fuses[63:32]</v>
      </c>
      <c r="M14" s="184"/>
      <c r="N14" s="166"/>
      <c r="O14" s="170"/>
    </row>
    <row r="15" spans="1:15" x14ac:dyDescent="0.35">
      <c r="A15" s="180"/>
      <c r="B15" s="46" t="s">
        <v>33</v>
      </c>
      <c r="C15" s="49" t="s">
        <v>626</v>
      </c>
      <c r="D15" s="183"/>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5"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5" s="83" t="str">
        <f ca="1">IF(VLOOKUP("EXT_FUSE_PULL_SUPP", INDIRECT(Config!$B$1),HLOOKUP(D$1,INDIRECT(Config!$E$1),2,FALSE),FALSE)=1, IF(G15&gt;0,CONCATENATE("CSME_HW_FW_Config_fuses[",G15-1+G14+G13,":",G14+G13,"]"), ""), "")</f>
        <v>CSME_HW_FW_Config_fuses[95:64]</v>
      </c>
      <c r="M15" s="184"/>
      <c r="N15" s="166"/>
      <c r="O15" s="170"/>
    </row>
    <row r="16" spans="1:15" x14ac:dyDescent="0.35">
      <c r="A16" s="180"/>
      <c r="B16" s="46" t="s">
        <v>34</v>
      </c>
      <c r="C16" s="49" t="s">
        <v>626</v>
      </c>
      <c r="D16" s="183"/>
      <c r="E16" s="14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6"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6" s="83" t="str">
        <f ca="1">IF(VLOOKUP("EXT_FUSE_PULL_SUPP", INDIRECT(Config!$B$1),HLOOKUP(D$1,INDIRECT(Config!$E$1),2,FALSE),FALSE)=1, IF(G16&gt;0,CONCATENATE("CSME_HW_FW_Config_fuses[",G16-1+G15+G14+G13,":",G15+G14+G13,"]"), ""), "")</f>
        <v>CSME_HW_FW_Config_fuses[127:96]</v>
      </c>
      <c r="M16" s="184"/>
      <c r="N16" s="166"/>
      <c r="O16" s="170"/>
    </row>
    <row r="17" spans="1:15" x14ac:dyDescent="0.35">
      <c r="A17" s="180"/>
      <c r="B17" s="46" t="s">
        <v>36</v>
      </c>
      <c r="C17" s="46" t="s">
        <v>261</v>
      </c>
      <c r="D17" s="183"/>
      <c r="E17" s="149"/>
      <c r="F17" s="89" t="s">
        <v>28</v>
      </c>
      <c r="G17" s="51">
        <f ca="1">IF($C17="No Param",32,VLOOKUP($C17,INDIRECT(Config!$B$1),HLOOKUP(D$1,INDIRECT(Config!$E$1),2,FALSE),FALSE)*32)</f>
        <v>0</v>
      </c>
      <c r="H17" s="17" t="str">
        <f ca="1">IF(G17=0, "N/A", CONCATENATE("0x",DEC2HEX(HEX2DEC(SUBSTITUTE(H16,"0x",""))+G16/8)))</f>
        <v>N/A</v>
      </c>
      <c r="I17" s="17" t="s">
        <v>37</v>
      </c>
      <c r="J17" s="17" t="str">
        <f ca="1">CONCATENATE("0x", DEC2HEX(
 _xlfn.BITLSHIFT(1, Group1!C93)*Group1!G93*Group1!M93
+_xlfn.BITLSHIFT(1, Group1!C94)*Group1!G94*Group1!M94
+_xlfn.BITLSHIFT(1, Group1!C95)*Group1!G95*Group1!M95
+_xlfn.BITLSHIFT(1, Group1!C96)*Group1!G96*Group1!M96, 8))</f>
        <v>0x00000000</v>
      </c>
      <c r="K17" s="17" t="str">
        <f ca="1">CONCATENATE("0x", DEC2HEX(
 _xlfn.BITLSHIFT(1, Group1!C93)*Group1!H93*Group1!M93
+_xlfn.BITLSHIFT(1, Group1!C94)*Group1!H94*Group1!M94
+_xlfn.BITLSHIFT(1, Group1!C95)*Group1!H95*Group1!M95
+_xlfn.BITLSHIFT(1, Group1!C96)*Group1!H96*Group1!M96, 8))</f>
        <v>0x00000000</v>
      </c>
      <c r="L17" s="17" t="str">
        <f ca="1">IF(VLOOKUP("EXT_FUSE_PULL_SUPP", INDIRECT(Config!$B$1),HLOOKUP(D$1,INDIRECT(Config!$E$1),2,FALSE),FALSE)=1, IF(G17&gt;0,CONCATENATE("CSME_HW_FW_Config_fusess[",G17-1+G16+G15+G14+G13,":",G16+G15+G14+G13,"]"), ""), "")</f>
        <v/>
      </c>
      <c r="M17" s="184"/>
      <c r="N17" s="166"/>
      <c r="O17" s="170"/>
    </row>
    <row r="18" spans="1:15" x14ac:dyDescent="0.35">
      <c r="A18" s="180"/>
      <c r="B18" s="46" t="s">
        <v>38</v>
      </c>
      <c r="C18" s="95" t="s">
        <v>221</v>
      </c>
      <c r="D18" s="183"/>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Group1!C97)*Group1!G97*Group1!M97
+_xlfn.BITLSHIFT(1, Group1!C98)*Group1!G98*Group1!M98
+_xlfn.BITLSHIFT(1, Group1!C99)*Group1!G99*Group1!M99
+_xlfn.BITLSHIFT(1, Group1!C100)*Group1!G100*Group1!M100, 8))</f>
        <v>0x00000000</v>
      </c>
      <c r="K18" s="17" t="str">
        <f ca="1">CONCATENATE("0x", DEC2HEX(
 _xlfn.BITLSHIFT(1, Group1!C97)*Group1!H97*Group1!M97
+_xlfn.BITLSHIFT(1, Group1!C98)*Group1!H98*Group1!M98
+_xlfn.BITLSHIFT(1, Group1!C99)*Group1!H99*Group1!M99
+_xlfn.BITLSHIFT(1, Group1!C100)*Group1!H100*Group1!M100, 8))</f>
        <v>0x00000000</v>
      </c>
      <c r="L18" s="17" t="str">
        <f ca="1">IF(VLOOKUP("EXT_FUSE_PULL_SUPP", INDIRECT(Config!$B$1),HLOOKUP(D$1,INDIRECT(Config!$E$1),2,FALSE),FALSE)=1, IF(G18&gt;0,CONCATENATE("CSME_HW_FW_Config_fusess[",G18-1+G17+G16+G15+G14+G13,":",G17+G16+G15+G14+G13,"]"), ""), "")</f>
        <v/>
      </c>
      <c r="M18" s="184"/>
      <c r="N18" s="166"/>
      <c r="O18" s="170"/>
    </row>
    <row r="19" spans="1:15" x14ac:dyDescent="0.35">
      <c r="A19" s="180"/>
      <c r="B19" s="95" t="s">
        <v>254</v>
      </c>
      <c r="C19" s="95" t="s">
        <v>209</v>
      </c>
      <c r="D19" s="183"/>
      <c r="E19" s="149"/>
      <c r="F19" s="89" t="s">
        <v>28</v>
      </c>
      <c r="G19" s="51">
        <f ca="1">IF($C19="No Param",32,VLOOKUP($C19,INDIRECT(Config!$B$1),HLOOKUP(D$1,INDIRECT(Config!$E$1),2,FALSE),FALSE)*32)</f>
        <v>0</v>
      </c>
      <c r="H19" s="17" t="str">
        <f ca="1">IF(G19=0, "N/A", CONCATENATE("0x",DEC2HEX(HEX2DEC(SUBSTITUTE(H17,"0x",""))+(G17+G18)/8)))</f>
        <v>N/A</v>
      </c>
      <c r="I19" s="7" t="s">
        <v>390</v>
      </c>
      <c r="J19" s="7" t="str">
        <f ca="1">CONCATENATE("0x", DEC2HEX(
 _xlfn.BITLSHIFT(1, Group1!C87)*Group1!G87*Group1!M87
+_xlfn.BITLSHIFT(1, Group1!C88)*Group1!G88*Group1!M88
+_xlfn.BITLSHIFT(1, Group1!C89)*Group1!G89*Group1!M89, 8))</f>
        <v>0x00000000</v>
      </c>
      <c r="K19" s="7" t="str">
        <f ca="1">CONCATENATE("0x", DEC2HEX(
 _xlfn.BITLSHIFT(1, Group1!C87)*Group1!H87*Group1!M87
+_xlfn.BITLSHIFT(1, Group1!C88)*Group1!H88*Group1!M88
+_xlfn.BITLSHIFT(1, Group1!C89)*Group1!H89*Group1!M89, 8))</f>
        <v>0x00000000</v>
      </c>
      <c r="L19" s="17" t="str">
        <f ca="1">IF(VLOOKUP("EXT_FUSE_PULL_SUPP", INDIRECT(Config!$B$1),HLOOKUP(D$1,INDIRECT(Config!$E$1),2,FALSE),FALSE)=1, IF(G19&gt;0,CONCATENATE("CSME_HW_FW_Config_fusess[",G19-1+G18+G17+G16+G15+G14+G13,":",G18+G17+G16+G15+G14+G13,"]"), ""), "")</f>
        <v/>
      </c>
      <c r="M19" s="184"/>
      <c r="N19" s="166"/>
      <c r="O19" s="170"/>
    </row>
    <row r="20" spans="1:15" x14ac:dyDescent="0.35">
      <c r="A20" s="180"/>
      <c r="B20" s="95" t="s">
        <v>258</v>
      </c>
      <c r="C20" s="95" t="s">
        <v>402</v>
      </c>
      <c r="D20" s="183"/>
      <c r="E20" s="149"/>
      <c r="F20" s="89" t="s">
        <v>28</v>
      </c>
      <c r="G20" s="51">
        <f ca="1">IF($C20="No Param",32,VLOOKUP($C20,INDIRECT(Config!$B$1),HLOOKUP(D$1,INDIRECT(Config!$E$1),2,FALSE),FALSE)*32)</f>
        <v>0</v>
      </c>
      <c r="H20" s="17" t="str">
        <f ca="1">IF(G20=0, "N/A", CONCATENATE("0x",DEC2HEX(HEX2DEC(SUBSTITUTE(H17,"0x",""))+(G17+G18+G19)/8)))</f>
        <v>N/A</v>
      </c>
      <c r="I20" s="7" t="s">
        <v>391</v>
      </c>
      <c r="J20" s="7" t="str">
        <f ca="1">CONCATENATE("0x", DEC2HEX(
 _xlfn.BITLSHIFT(1, Group1!C90)*Group1!G90*Group1!M90, 8))</f>
        <v>0x00000000</v>
      </c>
      <c r="K20" s="7" t="str">
        <f ca="1">CONCATENATE("0x", DEC2HEX(
 _xlfn.BITLSHIFT(1, Group1!C90)*Group1!H90*Group1!M90, 8))</f>
        <v>0x00000000</v>
      </c>
      <c r="L20" s="17" t="str">
        <f ca="1">IF(VLOOKUP("EXT_FUSE_PULL_SUPP", INDIRECT(Config!$B$1),HLOOKUP(D$1,INDIRECT(Config!$E$1),2,FALSE),FALSE)=1, IF(G20&gt;0,CONCATENATE("CSME_HW_FW_Config_fusess[",G20-1+G19+G18+G17+G16+G15+G14+G13,":",G19+G18+G17+G16+G15+G14+G13,"]"), ""), "")</f>
        <v/>
      </c>
      <c r="M20" s="184"/>
      <c r="N20" s="166"/>
      <c r="O20" s="170"/>
    </row>
    <row r="21" spans="1:15" x14ac:dyDescent="0.35">
      <c r="A21" s="180"/>
      <c r="B21" s="95" t="s">
        <v>259</v>
      </c>
      <c r="C21" s="95" t="s">
        <v>402</v>
      </c>
      <c r="D21" s="183"/>
      <c r="E21" s="149"/>
      <c r="F21" s="89" t="s">
        <v>28</v>
      </c>
      <c r="G21" s="51">
        <f ca="1">IF($C21="No Param",32,VLOOKUP($C21,INDIRECT(Config!$B$1),HLOOKUP(D$1,INDIRECT(Config!$E$1),2,FALSE),FALSE)*32)</f>
        <v>0</v>
      </c>
      <c r="H21" s="17" t="str">
        <f ca="1">IF(G21=0, "N/A", CONCATENATE("0x",DEC2HEX(HEX2DEC(SUBSTITUTE(H17,"0x",""))+(G17+G18+G19+G20)/8)))</f>
        <v>N/A</v>
      </c>
      <c r="I21" s="7" t="s">
        <v>392</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IF(G21&gt;0,CONCATENATE("CSME_HW_FW_Config_fusess[",G21-1+G20+G19+G18+G17+G16+G15+G14+G13,":",G20+G19+G18+G17+G16+G15+G14+G13,"]"), ""), "")</f>
        <v/>
      </c>
      <c r="M21" s="184"/>
      <c r="N21" s="166"/>
      <c r="O21" s="170"/>
    </row>
    <row r="22" spans="1:15" x14ac:dyDescent="0.35">
      <c r="A22" s="180"/>
      <c r="B22" s="95" t="s">
        <v>260</v>
      </c>
      <c r="C22" s="95" t="s">
        <v>402</v>
      </c>
      <c r="D22" s="183"/>
      <c r="E22" s="149"/>
      <c r="F22" s="89" t="s">
        <v>28</v>
      </c>
      <c r="G22" s="51">
        <f ca="1">IF($C22="No Param",32,VLOOKUP($C22,INDIRECT(Config!$B$1),HLOOKUP(D$1,INDIRECT(Config!$E$1),2,FALSE),FALSE)*32)</f>
        <v>0</v>
      </c>
      <c r="H22" s="17" t="str">
        <f ca="1">IF(G22=0, "N/A", CONCATENATE("0x",DEC2HEX(HEX2DEC(SUBSTITUTE(H17,"0x",""))+(G17+G18+G19+G20+G21)/8)))</f>
        <v>N/A</v>
      </c>
      <c r="I22" s="7" t="s">
        <v>393</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IF(G22&gt;0,CONCATENATE("CSME_HW_FW_Config_fusess[",G22-1+G21+G20+G19+G18+G17+G16+G15+G14+G13,":",G21+G20+G19+G18+G17+G16+G15+G14+G13,"]"), ""), "")</f>
        <v/>
      </c>
      <c r="M22" s="184"/>
      <c r="N22" s="166"/>
      <c r="O22" s="170"/>
    </row>
    <row r="23" spans="1:15" x14ac:dyDescent="0.35">
      <c r="A23" s="180"/>
      <c r="B23" s="46" t="s">
        <v>40</v>
      </c>
      <c r="C23" s="49" t="s">
        <v>626</v>
      </c>
      <c r="D23" s="183"/>
      <c r="E23" s="149"/>
      <c r="F23" s="89" t="s">
        <v>28</v>
      </c>
      <c r="G23" s="51">
        <f ca="1">IF($C23="No Param",32,VLOOKUP($C23,INDIRECT(Config!$B$1),HLOOKUP(D$1,INDIRECT(Config!$E$1),2,FALSE),FALSE)*32)</f>
        <v>32</v>
      </c>
      <c r="H23" s="17" t="s">
        <v>41</v>
      </c>
      <c r="I23" s="17" t="s">
        <v>42</v>
      </c>
      <c r="J23" s="17" t="str">
        <f>CONCATENATE("0x", DEC2HEX(
 _xlfn.BITLSHIFT(1, Group1!C101)*Group1!G101*Group1!M101
+_xlfn.BITLSHIFT(1, Group1!C102)*Group1!G102*Group1!M102
+_xlfn.BITLSHIFT(1, Group1!C103)*Group1!G103*Group1!M103
+_xlfn.BITLSHIFT(1, Group1!C104)*Group1!G104*Group1!M104, 8))</f>
        <v>0x00000000</v>
      </c>
      <c r="K23" s="17" t="str">
        <f>CONCATENATE("0x", DEC2HEX(
 _xlfn.BITLSHIFT(1, Group1!C101)*Group1!H101*Group1!M101
+_xlfn.BITLSHIFT(1, Group1!C102)*Group1!H102*Group1!M102
+_xlfn.BITLSHIFT(1, Group1!C103)*Group1!H103*Group1!M103
+_xlfn.BITLSHIFT(1, Group1!C104)*Group1!H104*Group1!M104, 8))</f>
        <v>0x0A000000</v>
      </c>
      <c r="L23" s="225" t="str">
        <f ca="1">IF(VLOOKUP("EXT_FUSE_PULL_SUPP", INDIRECT(Config!$B$1),HLOOKUP(D$1,INDIRECT(Config!$E$1),2,FALSE),FALSE)=1, IF(G23&gt;0,CONCATENATE("CSME_HW_FW_INT_CHK[",G23-1,":0]"),""), "")</f>
        <v>CSME_HW_FW_INT_CHK[31:0]</v>
      </c>
      <c r="M23" s="184"/>
      <c r="N23" s="166"/>
      <c r="O23" s="170"/>
    </row>
    <row r="24" spans="1:15" x14ac:dyDescent="0.35">
      <c r="A24" s="179" t="s">
        <v>43</v>
      </c>
      <c r="B24" s="46" t="s">
        <v>44</v>
      </c>
      <c r="C24" s="46" t="s">
        <v>627</v>
      </c>
      <c r="D24" s="183" t="s">
        <v>45</v>
      </c>
      <c r="E24" s="149"/>
      <c r="F24" s="89" t="s">
        <v>46</v>
      </c>
      <c r="G24" s="51">
        <f ca="1">IF($C24="No Param",32,VLOOKUP($C24,INDIRECT(Config!$B$1),HLOOKUP(D$1,INDIRECT(Config!$E$1),2,FALSE),FALSE)*32)</f>
        <v>0</v>
      </c>
      <c r="H24" s="17" t="str">
        <f ca="1">IF(G24=0,"N/A","0x8000")</f>
        <v>N/A</v>
      </c>
      <c r="I24" s="17" t="s">
        <v>47</v>
      </c>
      <c r="J24" s="17" t="s">
        <v>399</v>
      </c>
      <c r="K24" s="17" t="s">
        <v>399</v>
      </c>
      <c r="L24" s="17"/>
      <c r="M24" s="184" t="s">
        <v>382</v>
      </c>
      <c r="N24" s="166"/>
      <c r="O24" s="170">
        <f ca="1">(G24+G25)</f>
        <v>0</v>
      </c>
    </row>
    <row r="25" spans="1:15" ht="15" thickBot="1" x14ac:dyDescent="0.4">
      <c r="A25" s="185"/>
      <c r="B25" s="96" t="s">
        <v>48</v>
      </c>
      <c r="C25" s="96" t="s">
        <v>628</v>
      </c>
      <c r="D25" s="186"/>
      <c r="E25" s="150"/>
      <c r="F25" s="98" t="s">
        <v>46</v>
      </c>
      <c r="G25" s="97">
        <f ca="1">IF($C25="No Param",32,VLOOKUP($C25,INDIRECT(Config!$B$1),HLOOKUP(D$1,INDIRECT(Config!$E$1),2,FALSE),FALSE)*32)</f>
        <v>0</v>
      </c>
      <c r="H25" s="33" t="str">
        <f ca="1">IF(G25=0,"N/A","0x8004")</f>
        <v>N/A</v>
      </c>
      <c r="I25" s="33" t="s">
        <v>49</v>
      </c>
      <c r="J25" s="33" t="s">
        <v>399</v>
      </c>
      <c r="K25" s="33" t="s">
        <v>399</v>
      </c>
      <c r="L25" s="33"/>
      <c r="M25" s="167"/>
      <c r="N25" s="167"/>
      <c r="O25" s="171"/>
    </row>
    <row r="26" spans="1:15" ht="15" thickBot="1" x14ac:dyDescent="0.4">
      <c r="A26" s="151"/>
    </row>
    <row r="27" spans="1:15" x14ac:dyDescent="0.35">
      <c r="A27" s="182" t="s">
        <v>51</v>
      </c>
      <c r="B27" s="105" t="s">
        <v>631</v>
      </c>
      <c r="C27" s="105" t="s">
        <v>631</v>
      </c>
      <c r="D27" s="105"/>
      <c r="E27" s="134"/>
      <c r="F27" s="115" t="s">
        <v>52</v>
      </c>
      <c r="G27" s="116">
        <f ca="1">IF($C27="No Param",32,VLOOKUP($C27,INDIRECT(Config!$B$1),HLOOKUP(D$1,INDIRECT(Config!$E$1),2,FALSE),FALSE))</f>
        <v>0</v>
      </c>
      <c r="H27" s="107" t="s">
        <v>53</v>
      </c>
      <c r="I27" s="139" t="s">
        <v>637</v>
      </c>
      <c r="J27" s="139" t="s">
        <v>399</v>
      </c>
      <c r="K27" s="139" t="s">
        <v>399</v>
      </c>
      <c r="L27" s="139"/>
      <c r="M27" s="140" t="s">
        <v>50</v>
      </c>
      <c r="N27" s="168" t="s">
        <v>50</v>
      </c>
      <c r="O27" s="169">
        <f ca="1">SUM(G27:G41)</f>
        <v>0</v>
      </c>
    </row>
    <row r="28" spans="1:15" ht="15" customHeight="1" x14ac:dyDescent="0.35">
      <c r="A28" s="183"/>
      <c r="B28" s="46" t="s">
        <v>54</v>
      </c>
      <c r="C28" s="46" t="s">
        <v>261</v>
      </c>
      <c r="D28" s="46" t="s">
        <v>18</v>
      </c>
      <c r="E28" s="40"/>
      <c r="F28" s="32" t="s">
        <v>52</v>
      </c>
      <c r="G28" s="51">
        <f ca="1">VLOOKUP("TRC_PRESENT", INDIRECT(Config!$B$1), HLOOKUP(D$1, INDIRECT(Config!$E$1), 2, FALSE),FALSE)*32</f>
        <v>0</v>
      </c>
      <c r="H28" s="17" t="s">
        <v>55</v>
      </c>
      <c r="I28" s="17" t="str">
        <f>CONCATENATE("0x",DEC2HEX(HEX2DEC(SUBSTITUTE(I27,"0x",""))+HEX2DEC(SUBSTITUTE(H28,"0x",""))))</f>
        <v>0xF00B0840</v>
      </c>
      <c r="J28" s="17" t="s">
        <v>399</v>
      </c>
      <c r="K28" s="17" t="s">
        <v>399</v>
      </c>
      <c r="L28" s="84" t="str">
        <f ca="1">IF(VLOOKUP("EXT_FUSE_PULL_SUPP", INDIRECT(Config!$B$1),HLOOKUP(D$1,INDIRECT(Config!$E$1),2,FALSE),FALSE)=1, IF(G28&gt;0,CONCATENATE("GSK_OEM_IFP_CONFIG[",G28-1,":0]"),""), "")</f>
        <v/>
      </c>
      <c r="M28" s="184" t="s">
        <v>381</v>
      </c>
      <c r="N28" s="166"/>
      <c r="O28" s="170"/>
    </row>
    <row r="29" spans="1:15" x14ac:dyDescent="0.35">
      <c r="A29" s="183"/>
      <c r="B29" s="46" t="s">
        <v>56</v>
      </c>
      <c r="C29" s="46" t="s">
        <v>261</v>
      </c>
      <c r="D29" s="46" t="s">
        <v>18</v>
      </c>
      <c r="E29" s="40"/>
      <c r="F29" s="32" t="s">
        <v>52</v>
      </c>
      <c r="G29" s="51">
        <f ca="1">VLOOKUP("TRC_PRESENT", INDIRECT(Config!$B$1), HLOOKUP(D$1, INDIRECT(Config!$E$1), 2, FALSE),FALSE)*32</f>
        <v>0</v>
      </c>
      <c r="H29" s="17" t="s">
        <v>57</v>
      </c>
      <c r="I29" s="17" t="str">
        <f>CONCATENATE("0x",DEC2HEX(HEX2DEC(SUBSTITUTE(I27,"0x",""))+HEX2DEC(SUBSTITUTE(H29,"0x",""))))</f>
        <v>0xF00B0844</v>
      </c>
      <c r="J29" s="17" t="s">
        <v>399</v>
      </c>
      <c r="K29" s="17" t="s">
        <v>399</v>
      </c>
      <c r="L29" s="84" t="str">
        <f ca="1">IF(VLOOKUP("EXT_FUSE_PULL_SUPP", INDIRECT(Config!$B$1),HLOOKUP(D$1,INDIRECT(Config!$E$1),2,FALSE),FALSE)=1, IF(G29&gt;0,CONCATENATE("GSK_TRC_DIS[",G29-1,":0]"),""), "")</f>
        <v/>
      </c>
      <c r="M29" s="184"/>
      <c r="N29" s="166"/>
      <c r="O29" s="170"/>
    </row>
    <row r="30" spans="1:15" x14ac:dyDescent="0.35">
      <c r="A30" s="183"/>
      <c r="B30" s="46" t="s">
        <v>371</v>
      </c>
      <c r="C30" s="17" t="s">
        <v>372</v>
      </c>
      <c r="D30" s="46" t="s">
        <v>564</v>
      </c>
      <c r="E30" s="40"/>
      <c r="F30" s="32" t="s">
        <v>52</v>
      </c>
      <c r="G30" s="51">
        <f ca="1">VLOOKUP("OEM_SECRET_KEY_FUSES_LIMIT", INDIRECT(Config!$B$1), HLOOKUP(D$1, INDIRECT(Config!$E$1), 2, FALSE),FALSE)*32</f>
        <v>0</v>
      </c>
      <c r="H30" s="17" t="s">
        <v>417</v>
      </c>
      <c r="I30" s="17" t="str">
        <f>CONCATENATE("0x",DEC2HEX(HEX2DEC(SUBSTITUTE(I27,"0x",""))+HEX2DEC(SUBSTITUTE(H30,"0x",""))))</f>
        <v>0xF00B0880</v>
      </c>
      <c r="J30" s="17" t="s">
        <v>399</v>
      </c>
      <c r="K30" s="17" t="s">
        <v>399</v>
      </c>
      <c r="L30" s="84" t="str">
        <f ca="1">IF(VLOOKUP("EXT_FUSE_PULL_SUPP", INDIRECT(Config!$B$1),HLOOKUP(D$1,INDIRECT(Config!$E$1),2,FALSE),FALSE)=1, IF(G30&gt;0,CONCATENATE("GSK_OEM_SECRET_KEYS_DWn[",G30-1,":0]"),""), "")</f>
        <v/>
      </c>
      <c r="M30" s="184"/>
      <c r="N30" s="166"/>
      <c r="O30" s="170"/>
    </row>
    <row r="31" spans="1:15" x14ac:dyDescent="0.35">
      <c r="A31" s="183"/>
      <c r="B31" s="109" t="s">
        <v>630</v>
      </c>
      <c r="C31" s="109" t="s">
        <v>685</v>
      </c>
      <c r="D31" s="133"/>
      <c r="E31" s="135" t="str">
        <f>CONCATENATE("This is a region for ",$D$1," FW IFPs")</f>
        <v>This is a region for MTL-SOC-M GSC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0</v>
      </c>
      <c r="H31" s="110" t="s">
        <v>58</v>
      </c>
      <c r="I31" s="2" t="str">
        <f>CONCATENATE("0x",DEC2HEX(HEX2DEC(SUBSTITUTE(I27,"0x",""))+HEX2DEC(SUBSTITUTE(H31,"0x",""))))</f>
        <v>0xF00B0900</v>
      </c>
      <c r="J31" s="141" t="s">
        <v>399</v>
      </c>
      <c r="K31" s="141" t="s">
        <v>399</v>
      </c>
      <c r="L31" s="142" t="str">
        <f ca="1">IF(VLOOKUP("EXT_FUSE_PULL_SUPP", INDIRECT(Config!$B$1),HLOOKUP(D$1,INDIRECT(Config!$E$1),2,FALSE),FALSE)=1, IF(G31&gt;0,CONCATENATE("CSME_HW_IFP_FUSES[",G31-1,":0]"),""), "")</f>
        <v/>
      </c>
      <c r="M31" s="141" t="s">
        <v>50</v>
      </c>
      <c r="N31" s="166"/>
      <c r="O31" s="170"/>
    </row>
    <row r="32" spans="1:15" x14ac:dyDescent="0.35">
      <c r="A32" s="183"/>
      <c r="B32" s="109" t="s">
        <v>632</v>
      </c>
      <c r="C32" s="109" t="s">
        <v>632</v>
      </c>
      <c r="D32" s="109"/>
      <c r="E32" s="136"/>
      <c r="F32" s="117" t="s">
        <v>415</v>
      </c>
      <c r="G32" s="106">
        <f ca="1">IF($C32="No Param",32,VLOOKUP($C32,INDIRECT(Config!$B$1),HLOOKUP(D$1,INDIRECT(Config!$E$1),2,FALSE),FALSE))</f>
        <v>0</v>
      </c>
      <c r="H32" s="110" t="s">
        <v>425</v>
      </c>
      <c r="I32" s="2" t="str">
        <f>CONCATENATE("0x",DEC2HEX(HEX2DEC(SUBSTITUTE(I27,"0x",""))+HEX2DEC(SUBSTITUTE(H32,"0x",""))))</f>
        <v>0xF00B0A00</v>
      </c>
      <c r="J32" s="141" t="s">
        <v>399</v>
      </c>
      <c r="K32" s="141" t="s">
        <v>399</v>
      </c>
      <c r="L32" s="141"/>
      <c r="M32" s="141" t="s">
        <v>50</v>
      </c>
      <c r="N32" s="166"/>
      <c r="O32" s="170"/>
    </row>
    <row r="33" spans="1:15" ht="15" customHeight="1" x14ac:dyDescent="0.35">
      <c r="A33" s="183"/>
      <c r="B33" s="46" t="s">
        <v>366</v>
      </c>
      <c r="C33" s="17" t="s">
        <v>367</v>
      </c>
      <c r="D33" s="46" t="s">
        <v>18</v>
      </c>
      <c r="E33" s="40"/>
      <c r="F33" s="32" t="s">
        <v>415</v>
      </c>
      <c r="G33" s="51">
        <f ca="1">IF(VLOOKUP("PARAM_INT_IFP_TRIPLE_RDD_DIS", INDIRECT(Config!$B$1), HLOOKUP(D$1, INDIRECT(Config!$E$1), 2, FALSE),FALSE)=0, VLOOKUP("TRC_PRESENT", INDIRECT(Config!$B$1), HLOOKUP(D$1, INDIRECT(Config!$E$1), 2, FALSE),FALSE)*32, 0)</f>
        <v>0</v>
      </c>
      <c r="H33" s="17" t="s">
        <v>420</v>
      </c>
      <c r="I33" s="17" t="str">
        <f>CONCATENATE("0x",DEC2HEX(HEX2DEC(SUBSTITUTE(I27,"0x",""))+HEX2DEC(SUBSTITUTE(H33,"0x",""))))</f>
        <v>0xF00B0A40</v>
      </c>
      <c r="J33" s="17" t="s">
        <v>399</v>
      </c>
      <c r="K33" s="17" t="s">
        <v>399</v>
      </c>
      <c r="L33" s="84" t="str">
        <f ca="1">IF(VLOOKUP("EXT_FUSE_PULL_SUPP", INDIRECT(Config!$B$1),HLOOKUP(D$1,INDIRECT(Config!$E$1),2,FALSE),FALSE)=1, IF(G33&gt;0,CONCATENATE("GSK_OEM_IFP_CONFIG_COPY1[",G33-1,":0]"),""), "")</f>
        <v/>
      </c>
      <c r="M33" s="184" t="s">
        <v>381</v>
      </c>
      <c r="N33" s="166"/>
      <c r="O33" s="170"/>
    </row>
    <row r="34" spans="1:15" x14ac:dyDescent="0.35">
      <c r="A34" s="183"/>
      <c r="B34" s="46" t="s">
        <v>413</v>
      </c>
      <c r="C34" s="17" t="s">
        <v>367</v>
      </c>
      <c r="D34" s="46" t="s">
        <v>18</v>
      </c>
      <c r="E34" s="40"/>
      <c r="F34" s="32" t="s">
        <v>415</v>
      </c>
      <c r="G34" s="51">
        <f ca="1">IF(VLOOKUP("PARAM_INT_IFP_TRIPLE_RDD_DIS", INDIRECT(Config!$B$1), HLOOKUP(D$1, INDIRECT(Config!$E$1), 2, FALSE),FALSE)=0, VLOOKUP("TRC_PRESENT", INDIRECT(Config!$B$1), HLOOKUP(D$1, INDIRECT(Config!$E$1), 2, FALSE),FALSE)*32, 0)</f>
        <v>0</v>
      </c>
      <c r="H34" s="17" t="s">
        <v>423</v>
      </c>
      <c r="I34" s="17" t="str">
        <f>CONCATENATE("0x",DEC2HEX(HEX2DEC(SUBSTITUTE(I27,"0x",""))+HEX2DEC(SUBSTITUTE(H34,"0x",""))))</f>
        <v>0xF00B0A44</v>
      </c>
      <c r="J34" s="17" t="s">
        <v>399</v>
      </c>
      <c r="K34" s="17" t="s">
        <v>399</v>
      </c>
      <c r="L34" s="84" t="str">
        <f ca="1">IF(VLOOKUP("EXT_FUSE_PULL_SUPP", INDIRECT(Config!$B$1),HLOOKUP(D$1,INDIRECT(Config!$E$1),2,FALSE),FALSE)=1, IF(G34&gt;0,CONCATENATE("GSK_TRC_DIS_COPY1[",G34-1,":0]"),""), "")</f>
        <v/>
      </c>
      <c r="M34" s="184"/>
      <c r="N34" s="166"/>
      <c r="O34" s="170"/>
    </row>
    <row r="35" spans="1:15" x14ac:dyDescent="0.35">
      <c r="A35" s="183"/>
      <c r="B35" s="46" t="s">
        <v>374</v>
      </c>
      <c r="C35" s="17" t="s">
        <v>375</v>
      </c>
      <c r="D35" s="46" t="s">
        <v>564</v>
      </c>
      <c r="E35" s="40"/>
      <c r="F35" s="32" t="s">
        <v>415</v>
      </c>
      <c r="G35" s="51">
        <f ca="1">IF(VLOOKUP("PARAM_INT_IFP_TRIPLE_RDD_DIS", INDIRECT(Config!$B$1), HLOOKUP(D$1, INDIRECT(Config!$E$1), 2, FALSE),FALSE)=0, VLOOKUP("OEM_SECRET_KEY_FUSES_LIMIT", INDIRECT(Config!$B$1), HLOOKUP(D$1, INDIRECT(Config!$E$1), 2, FALSE),FALSE)*32, 0)</f>
        <v>0</v>
      </c>
      <c r="H35" s="17" t="s">
        <v>418</v>
      </c>
      <c r="I35" s="17" t="str">
        <f>CONCATENATE("0x",DEC2HEX(HEX2DEC(SUBSTITUTE(I27,"0x",""))+HEX2DEC(SUBSTITUTE(H35,"0x",""))))</f>
        <v>0xF00B0A80</v>
      </c>
      <c r="J35" s="17" t="s">
        <v>399</v>
      </c>
      <c r="K35" s="17" t="s">
        <v>399</v>
      </c>
      <c r="L35" s="84" t="str">
        <f ca="1">IF(VLOOKUP("EXT_FUSE_PULL_SUPP", INDIRECT(Config!$B$1),HLOOKUP(D$1,INDIRECT(Config!$E$1),2,FALSE),FALSE)=1, IF(G35&gt;0,CONCATENATE("GSK_OEM_SECRET_KEYS_DWn_COPY1[",G35-1,":0]"),""), "")</f>
        <v/>
      </c>
      <c r="M35" s="184"/>
      <c r="N35" s="166"/>
      <c r="O35" s="170"/>
    </row>
    <row r="36" spans="1:15" x14ac:dyDescent="0.35">
      <c r="A36" s="183"/>
      <c r="B36" s="109" t="s">
        <v>633</v>
      </c>
      <c r="C36" s="109" t="s">
        <v>685</v>
      </c>
      <c r="D36" s="133"/>
      <c r="E36" s="135" t="str">
        <f>IF($D$1="MTL-SOC-M CSME", "This is a region for MTL-SOC-M GSC FW IFPs", CONCATENATE("This is a region for ",$D$1," FW IFPs"))</f>
        <v>This is a region for MTL-SOC-M GSC FW IFPs</v>
      </c>
      <c r="F36" s="117" t="s">
        <v>415</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0</v>
      </c>
      <c r="H36" s="110" t="s">
        <v>424</v>
      </c>
      <c r="I36" s="2" t="str">
        <f>CONCATENATE("0x",DEC2HEX(HEX2DEC(SUBSTITUTE(I27,"0x",""))+HEX2DEC(SUBSTITUTE(H36,"0x",""))))</f>
        <v>0xF00B0B00</v>
      </c>
      <c r="J36" s="141" t="s">
        <v>399</v>
      </c>
      <c r="K36" s="141" t="s">
        <v>399</v>
      </c>
      <c r="L36" s="142" t="str">
        <f ca="1">IF(VLOOKUP("EXT_FUSE_PULL_SUPP", INDIRECT(Config!$B$1),HLOOKUP(D$1,INDIRECT(Config!$E$1),2,FALSE),FALSE)=1, IF(G36&gt;0,CONCATENATE("CSME_HW_IFP_FUSES_COPY1[",G36-1,":0]"),""), "")</f>
        <v/>
      </c>
      <c r="M36" s="141" t="s">
        <v>50</v>
      </c>
      <c r="N36" s="166"/>
      <c r="O36" s="170"/>
    </row>
    <row r="37" spans="1:15" x14ac:dyDescent="0.35">
      <c r="A37" s="183"/>
      <c r="B37" s="109" t="s">
        <v>634</v>
      </c>
      <c r="C37" s="109" t="s">
        <v>634</v>
      </c>
      <c r="D37" s="109"/>
      <c r="E37" s="136"/>
      <c r="F37" s="117" t="s">
        <v>416</v>
      </c>
      <c r="G37" s="106">
        <f ca="1">IF($C37="No Param",32,VLOOKUP($C37,INDIRECT(Config!$B$1),HLOOKUP(D$1,INDIRECT(Config!$E$1),2,FALSE),FALSE))</f>
        <v>0</v>
      </c>
      <c r="H37" s="110" t="s">
        <v>426</v>
      </c>
      <c r="I37" s="2" t="str">
        <f>CONCATENATE("0x",DEC2HEX(HEX2DEC(SUBSTITUTE(I27,"0x",""))+HEX2DEC(SUBSTITUTE(H37,"0x",""))))</f>
        <v>0xF00B0C00</v>
      </c>
      <c r="J37" s="141" t="s">
        <v>399</v>
      </c>
      <c r="K37" s="141" t="s">
        <v>399</v>
      </c>
      <c r="L37" s="141"/>
      <c r="M37" s="141" t="s">
        <v>50</v>
      </c>
      <c r="N37" s="166"/>
      <c r="O37" s="170"/>
    </row>
    <row r="38" spans="1:15" ht="15" customHeight="1" x14ac:dyDescent="0.35">
      <c r="A38" s="183"/>
      <c r="B38" s="46" t="s">
        <v>369</v>
      </c>
      <c r="C38" s="17" t="s">
        <v>367</v>
      </c>
      <c r="D38" s="46" t="s">
        <v>18</v>
      </c>
      <c r="E38" s="40"/>
      <c r="F38" s="32" t="s">
        <v>416</v>
      </c>
      <c r="G38" s="51">
        <f ca="1">IF(VLOOKUP("PARAM_INT_IFP_TRIPLE_RDD_DIS", INDIRECT(Config!$B$1), HLOOKUP(D$1, INDIRECT(Config!$E$1), 2, FALSE),FALSE)=0, VLOOKUP("TRC_PRESENT", INDIRECT(Config!$B$1), HLOOKUP(D$1, INDIRECT(Config!$E$1), 2, FALSE),FALSE)*32, 0)</f>
        <v>0</v>
      </c>
      <c r="H38" s="17" t="s">
        <v>422</v>
      </c>
      <c r="I38" s="17" t="str">
        <f>CONCATENATE("0x",DEC2HEX(HEX2DEC(SUBSTITUTE(I27,"0x",""))+HEX2DEC(SUBSTITUTE(H38,"0x",""))))</f>
        <v>0xF00B0C40</v>
      </c>
      <c r="J38" s="17" t="s">
        <v>399</v>
      </c>
      <c r="K38" s="17" t="s">
        <v>399</v>
      </c>
      <c r="L38" s="84" t="str">
        <f ca="1">IF(VLOOKUP("EXT_FUSE_PULL_SUPP", INDIRECT(Config!$B$1),HLOOKUP(D$1,INDIRECT(Config!$E$1),2,FALSE),FALSE)=1, IF(G38&gt;0,CONCATENATE("GSK_OEM_IFP_CONFIG_COPY2[",G38-1,":0]"),""), "")</f>
        <v/>
      </c>
      <c r="M38" s="184" t="s">
        <v>381</v>
      </c>
      <c r="N38" s="166"/>
      <c r="O38" s="170"/>
    </row>
    <row r="39" spans="1:15" x14ac:dyDescent="0.35">
      <c r="A39" s="183"/>
      <c r="B39" s="46" t="s">
        <v>414</v>
      </c>
      <c r="C39" s="17" t="s">
        <v>367</v>
      </c>
      <c r="D39" s="46" t="s">
        <v>18</v>
      </c>
      <c r="E39" s="40"/>
      <c r="F39" s="32" t="s">
        <v>416</v>
      </c>
      <c r="G39" s="51">
        <f ca="1">IF(VLOOKUP("PARAM_INT_IFP_TRIPLE_RDD_DIS", INDIRECT(Config!$B$1), HLOOKUP(D$1, INDIRECT(Config!$E$1), 2, FALSE),FALSE)=0, VLOOKUP("TRC_PRESENT", INDIRECT(Config!$B$1), HLOOKUP(D$1, INDIRECT(Config!$E$1), 2, FALSE),FALSE)*32, 0)</f>
        <v>0</v>
      </c>
      <c r="H39" s="17" t="s">
        <v>421</v>
      </c>
      <c r="I39" s="17" t="str">
        <f>CONCATENATE("0x",DEC2HEX(HEX2DEC(SUBSTITUTE(I27,"0x",""))+HEX2DEC(SUBSTITUTE(H39,"0x",""))))</f>
        <v>0xF00B0C44</v>
      </c>
      <c r="J39" s="17" t="s">
        <v>399</v>
      </c>
      <c r="K39" s="17" t="s">
        <v>399</v>
      </c>
      <c r="L39" s="84" t="str">
        <f ca="1">IF(VLOOKUP("EXT_FUSE_PULL_SUPP", INDIRECT(Config!$B$1),HLOOKUP(D$1,INDIRECT(Config!$E$1),2,FALSE),FALSE)=1, IF(G39&gt;0,CONCATENATE("GSK_TRC_DIS_COPY2[",G39-1,":0]"),""), "")</f>
        <v/>
      </c>
      <c r="M39" s="184"/>
      <c r="N39" s="166"/>
      <c r="O39" s="170"/>
    </row>
    <row r="40" spans="1:15" x14ac:dyDescent="0.35">
      <c r="A40" s="183"/>
      <c r="B40" s="46" t="s">
        <v>377</v>
      </c>
      <c r="C40" s="17" t="s">
        <v>375</v>
      </c>
      <c r="D40" s="46" t="s">
        <v>564</v>
      </c>
      <c r="E40" s="40"/>
      <c r="F40" s="32" t="s">
        <v>416</v>
      </c>
      <c r="G40" s="51">
        <f ca="1">IF(VLOOKUP("PARAM_INT_IFP_TRIPLE_RDD_DIS", INDIRECT(Config!$B$1), HLOOKUP(D$1, INDIRECT(Config!$E$1), 2, FALSE),FALSE)=0, VLOOKUP("OEM_SECRET_KEY_FUSES_LIMIT", INDIRECT(Config!$B$1), HLOOKUP(D$1, INDIRECT(Config!$E$1), 2, FALSE),FALSE)*32, 0)</f>
        <v>0</v>
      </c>
      <c r="H40" s="17" t="s">
        <v>419</v>
      </c>
      <c r="I40" s="17" t="str">
        <f>CONCATENATE("0x",DEC2HEX(HEX2DEC(SUBSTITUTE(I27,"0x",""))+HEX2DEC(SUBSTITUTE(H40,"0x",""))))</f>
        <v>0xF00B0C80</v>
      </c>
      <c r="J40" s="17" t="s">
        <v>399</v>
      </c>
      <c r="K40" s="17" t="s">
        <v>399</v>
      </c>
      <c r="L40" s="84" t="str">
        <f ca="1">IF(VLOOKUP("EXT_FUSE_PULL_SUPP", INDIRECT(Config!$B$1),HLOOKUP(D$1,INDIRECT(Config!$E$1),2,FALSE),FALSE)=1, IF(G40&gt;0,CONCATENATE("GSK_OEM_SECRET_KEYS_DWn_COPY2[",G40-1,":0]"),""), "")</f>
        <v/>
      </c>
      <c r="M40" s="184"/>
      <c r="N40" s="166"/>
      <c r="O40" s="170"/>
    </row>
    <row r="41" spans="1:15" ht="15" thickBot="1" x14ac:dyDescent="0.4">
      <c r="A41" s="186"/>
      <c r="B41" s="112" t="s">
        <v>635</v>
      </c>
      <c r="C41" s="112" t="s">
        <v>685</v>
      </c>
      <c r="D41" s="112"/>
      <c r="E41" s="137"/>
      <c r="F41" s="118" t="s">
        <v>416</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427</v>
      </c>
      <c r="I41" s="143" t="str">
        <f>CONCATENATE("0x",DEC2HEX(HEX2DEC(SUBSTITUTE(I27,"0x",""))+HEX2DEC(SUBSTITUTE(H41,"0x",""))))</f>
        <v>0xF00B0D00</v>
      </c>
      <c r="J41" s="144" t="s">
        <v>399</v>
      </c>
      <c r="K41" s="143" t="s">
        <v>399</v>
      </c>
      <c r="L41" s="143" t="str">
        <f ca="1">IF(VLOOKUP("EXT_FUSE_PULL_SUPP", INDIRECT(Config!$B$1),HLOOKUP(D$1,INDIRECT(Config!$E$1),2,FALSE),FALSE)=1, IF(G41&gt;0,CONCATENATE("CSME_HW_IFP_FUSES_COPY2[",G41-1,":0]"),""), "")</f>
        <v/>
      </c>
      <c r="M41" s="144" t="s">
        <v>50</v>
      </c>
      <c r="N41" s="167"/>
      <c r="O41" s="171"/>
    </row>
    <row r="42" spans="1:15" ht="15" customHeight="1" x14ac:dyDescent="0.35"/>
    <row r="43" spans="1:15" ht="15" customHeight="1" x14ac:dyDescent="0.35"/>
    <row r="44" spans="1:15" ht="15" customHeight="1" x14ac:dyDescent="0.35"/>
    <row r="45" spans="1:15" ht="15" customHeight="1" x14ac:dyDescent="0.35"/>
  </sheetData>
  <mergeCells count="23">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A27:A41"/>
    <mergeCell ref="N27:N41"/>
    <mergeCell ref="O27:O41"/>
    <mergeCell ref="M28:M30"/>
    <mergeCell ref="M33:M35"/>
    <mergeCell ref="M38:M40"/>
  </mergeCells>
  <conditionalFormatting sqref="C5">
    <cfRule type="cellIs" dxfId="163" priority="89" operator="equal">
      <formula>0</formula>
    </cfRule>
  </conditionalFormatting>
  <conditionalFormatting sqref="J27">
    <cfRule type="cellIs" dxfId="162" priority="105" operator="equal">
      <formula>0</formula>
    </cfRule>
  </conditionalFormatting>
  <conditionalFormatting sqref="C3">
    <cfRule type="cellIs" dxfId="161" priority="91" operator="equal">
      <formula>0</formula>
    </cfRule>
  </conditionalFormatting>
  <conditionalFormatting sqref="C4">
    <cfRule type="cellIs" dxfId="160" priority="90" operator="equal">
      <formula>0</formula>
    </cfRule>
  </conditionalFormatting>
  <conditionalFormatting sqref="B3 J4 J12 D3:J3 G4:G25">
    <cfRule type="cellIs" dxfId="159" priority="102" operator="equal">
      <formula>0</formula>
    </cfRule>
  </conditionalFormatting>
  <conditionalFormatting sqref="B4 H4:I4 D4:F4">
    <cfRule type="cellIs" dxfId="158" priority="101" operator="equal">
      <formula>0</formula>
    </cfRule>
  </conditionalFormatting>
  <conditionalFormatting sqref="B5 I5 D5:F5">
    <cfRule type="cellIs" dxfId="157" priority="100" operator="equal">
      <formula>0</formula>
    </cfRule>
  </conditionalFormatting>
  <conditionalFormatting sqref="B7 I7 F7">
    <cfRule type="cellIs" dxfId="156" priority="99" operator="equal">
      <formula>0</formula>
    </cfRule>
  </conditionalFormatting>
  <conditionalFormatting sqref="B8 H8:I8 D8:F8">
    <cfRule type="cellIs" priority="98" operator="equal">
      <formula>0</formula>
    </cfRule>
  </conditionalFormatting>
  <conditionalFormatting sqref="B9 H9:I9 D9:F9">
    <cfRule type="cellIs" dxfId="155" priority="97" operator="equal">
      <formula>0</formula>
    </cfRule>
  </conditionalFormatting>
  <conditionalFormatting sqref="B10 I10 D10:F10">
    <cfRule type="cellIs" dxfId="154" priority="95" operator="equal">
      <formula>0</formula>
    </cfRule>
    <cfRule type="cellIs" dxfId="153" priority="96" operator="equal">
      <formula>0</formula>
    </cfRule>
  </conditionalFormatting>
  <conditionalFormatting sqref="K12 K3:L4">
    <cfRule type="cellIs" dxfId="152" priority="94" operator="equal">
      <formula>0</formula>
    </cfRule>
  </conditionalFormatting>
  <conditionalFormatting sqref="B6 I6 D6:F6">
    <cfRule type="cellIs" dxfId="151" priority="93" operator="equal">
      <formula>0</formula>
    </cfRule>
  </conditionalFormatting>
  <conditionalFormatting sqref="D7:E7">
    <cfRule type="cellIs" dxfId="150" priority="92" operator="equal">
      <formula>0</formula>
    </cfRule>
  </conditionalFormatting>
  <conditionalFormatting sqref="C7">
    <cfRule type="cellIs" dxfId="149" priority="88" operator="equal">
      <formula>0</formula>
    </cfRule>
  </conditionalFormatting>
  <conditionalFormatting sqref="C8">
    <cfRule type="cellIs" priority="87" operator="equal">
      <formula>0</formula>
    </cfRule>
  </conditionalFormatting>
  <conditionalFormatting sqref="C9">
    <cfRule type="cellIs" dxfId="148" priority="86" operator="equal">
      <formula>0</formula>
    </cfRule>
  </conditionalFormatting>
  <conditionalFormatting sqref="C10">
    <cfRule type="cellIs" dxfId="147" priority="84" operator="equal">
      <formula>0</formula>
    </cfRule>
    <cfRule type="cellIs" dxfId="146" priority="85" operator="equal">
      <formula>0</formula>
    </cfRule>
  </conditionalFormatting>
  <conditionalFormatting sqref="C6">
    <cfRule type="cellIs" dxfId="145" priority="83" operator="equal">
      <formula>0</formula>
    </cfRule>
  </conditionalFormatting>
  <conditionalFormatting sqref="J5">
    <cfRule type="cellIs" dxfId="144" priority="71" operator="equal">
      <formula>0</formula>
    </cfRule>
  </conditionalFormatting>
  <conditionalFormatting sqref="K5">
    <cfRule type="cellIs" dxfId="143" priority="70" operator="equal">
      <formula>0</formula>
    </cfRule>
  </conditionalFormatting>
  <conditionalFormatting sqref="J6">
    <cfRule type="cellIs" dxfId="142" priority="69" operator="equal">
      <formula>0</formula>
    </cfRule>
  </conditionalFormatting>
  <conditionalFormatting sqref="K6">
    <cfRule type="cellIs" dxfId="141" priority="68" operator="equal">
      <formula>0</formula>
    </cfRule>
  </conditionalFormatting>
  <conditionalFormatting sqref="J9">
    <cfRule type="cellIs" dxfId="140" priority="67" operator="equal">
      <formula>0</formula>
    </cfRule>
  </conditionalFormatting>
  <conditionalFormatting sqref="K9">
    <cfRule type="cellIs" dxfId="139" priority="66" operator="equal">
      <formula>0</formula>
    </cfRule>
  </conditionalFormatting>
  <conditionalFormatting sqref="J10">
    <cfRule type="cellIs" dxfId="138" priority="65" operator="equal">
      <formula>0</formula>
    </cfRule>
  </conditionalFormatting>
  <conditionalFormatting sqref="K10">
    <cfRule type="cellIs" dxfId="137" priority="64" operator="equal">
      <formula>0</formula>
    </cfRule>
  </conditionalFormatting>
  <conditionalFormatting sqref="J11">
    <cfRule type="cellIs" dxfId="136" priority="63" operator="equal">
      <formula>0</formula>
    </cfRule>
  </conditionalFormatting>
  <conditionalFormatting sqref="K11">
    <cfRule type="cellIs" dxfId="135" priority="62" operator="equal">
      <formula>0</formula>
    </cfRule>
  </conditionalFormatting>
  <conditionalFormatting sqref="J7">
    <cfRule type="cellIs" dxfId="134" priority="61" operator="equal">
      <formula>0</formula>
    </cfRule>
  </conditionalFormatting>
  <conditionalFormatting sqref="K7">
    <cfRule type="cellIs" dxfId="133" priority="60" operator="equal">
      <formula>0</formula>
    </cfRule>
  </conditionalFormatting>
  <conditionalFormatting sqref="J8">
    <cfRule type="cellIs" dxfId="132" priority="59" operator="equal">
      <formula>0</formula>
    </cfRule>
  </conditionalFormatting>
  <conditionalFormatting sqref="K8">
    <cfRule type="cellIs" dxfId="131" priority="58" operator="equal">
      <formula>0</formula>
    </cfRule>
  </conditionalFormatting>
  <conditionalFormatting sqref="H5">
    <cfRule type="cellIs" dxfId="130" priority="57" operator="equal">
      <formula>0</formula>
    </cfRule>
  </conditionalFormatting>
  <conditionalFormatting sqref="H6">
    <cfRule type="cellIs" dxfId="129" priority="56" operator="equal">
      <formula>0</formula>
    </cfRule>
  </conditionalFormatting>
  <conditionalFormatting sqref="H7">
    <cfRule type="cellIs" dxfId="128" priority="55" operator="equal">
      <formula>0</formula>
    </cfRule>
  </conditionalFormatting>
  <conditionalFormatting sqref="H12">
    <cfRule type="cellIs" dxfId="127" priority="52" operator="equal">
      <formula>0</formula>
    </cfRule>
  </conditionalFormatting>
  <conditionalFormatting sqref="H10">
    <cfRule type="cellIs" dxfId="126" priority="54" operator="equal">
      <formula>0</formula>
    </cfRule>
  </conditionalFormatting>
  <conditionalFormatting sqref="H11">
    <cfRule type="cellIs" dxfId="125" priority="53" operator="equal">
      <formula>0</formula>
    </cfRule>
  </conditionalFormatting>
  <conditionalFormatting sqref="L5">
    <cfRule type="cellIs" dxfId="124" priority="51" operator="equal">
      <formula>0</formula>
    </cfRule>
  </conditionalFormatting>
  <conditionalFormatting sqref="L6">
    <cfRule type="cellIs" dxfId="123" priority="50" operator="equal">
      <formula>0</formula>
    </cfRule>
  </conditionalFormatting>
  <conditionalFormatting sqref="L7">
    <cfRule type="cellIs" dxfId="122" priority="49" operator="equal">
      <formula>0</formula>
    </cfRule>
  </conditionalFormatting>
  <conditionalFormatting sqref="L8:L9">
    <cfRule type="cellIs" dxfId="121" priority="48" operator="equal">
      <formula>0</formula>
    </cfRule>
  </conditionalFormatting>
  <conditionalFormatting sqref="L10">
    <cfRule type="cellIs" dxfId="120" priority="47" operator="equal">
      <formula>0</formula>
    </cfRule>
  </conditionalFormatting>
  <conditionalFormatting sqref="L11">
    <cfRule type="cellIs" dxfId="119" priority="46" operator="equal">
      <formula>0</formula>
    </cfRule>
  </conditionalFormatting>
  <conditionalFormatting sqref="L12">
    <cfRule type="cellIs" dxfId="118" priority="45" operator="equal">
      <formula>0</formula>
    </cfRule>
  </conditionalFormatting>
  <conditionalFormatting sqref="L31">
    <cfRule type="cellIs" dxfId="117" priority="44" operator="equal">
      <formula>0</formula>
    </cfRule>
  </conditionalFormatting>
  <conditionalFormatting sqref="L30">
    <cfRule type="cellIs" dxfId="116" priority="43" operator="equal">
      <formula>0</formula>
    </cfRule>
  </conditionalFormatting>
  <conditionalFormatting sqref="L29">
    <cfRule type="cellIs" dxfId="115" priority="42" operator="equal">
      <formula>0</formula>
    </cfRule>
  </conditionalFormatting>
  <conditionalFormatting sqref="L28">
    <cfRule type="cellIs" dxfId="114" priority="41" operator="equal">
      <formula>0</formula>
    </cfRule>
  </conditionalFormatting>
  <conditionalFormatting sqref="L36">
    <cfRule type="cellIs" dxfId="113" priority="40" operator="equal">
      <formula>0</formula>
    </cfRule>
  </conditionalFormatting>
  <conditionalFormatting sqref="L35">
    <cfRule type="cellIs" dxfId="112" priority="39" operator="equal">
      <formula>0</formula>
    </cfRule>
  </conditionalFormatting>
  <conditionalFormatting sqref="L34">
    <cfRule type="cellIs" dxfId="111" priority="38" operator="equal">
      <formula>0</formula>
    </cfRule>
  </conditionalFormatting>
  <conditionalFormatting sqref="L33">
    <cfRule type="cellIs" dxfId="110" priority="37" operator="equal">
      <formula>0</formula>
    </cfRule>
  </conditionalFormatting>
  <conditionalFormatting sqref="L41">
    <cfRule type="cellIs" dxfId="109" priority="36" operator="equal">
      <formula>0</formula>
    </cfRule>
  </conditionalFormatting>
  <conditionalFormatting sqref="L40">
    <cfRule type="cellIs" dxfId="108" priority="35" operator="equal">
      <formula>0</formula>
    </cfRule>
  </conditionalFormatting>
  <conditionalFormatting sqref="L39">
    <cfRule type="cellIs" dxfId="107" priority="34" operator="equal">
      <formula>0</formula>
    </cfRule>
  </conditionalFormatting>
  <conditionalFormatting sqref="L38">
    <cfRule type="cellIs" dxfId="106" priority="33" operator="equal">
      <formula>0</formula>
    </cfRule>
  </conditionalFormatting>
  <conditionalFormatting sqref="L13">
    <cfRule type="cellIs" dxfId="1" priority="32" operator="equal">
      <formula>0</formula>
    </cfRule>
  </conditionalFormatting>
  <conditionalFormatting sqref="L14">
    <cfRule type="cellIs" dxfId="105" priority="31" operator="equal">
      <formula>0</formula>
    </cfRule>
  </conditionalFormatting>
  <conditionalFormatting sqref="L15">
    <cfRule type="cellIs" dxfId="104" priority="30" operator="equal">
      <formula>0</formula>
    </cfRule>
  </conditionalFormatting>
  <conditionalFormatting sqref="L16">
    <cfRule type="cellIs" dxfId="103" priority="29" operator="equal">
      <formula>0</formula>
    </cfRule>
  </conditionalFormatting>
  <conditionalFormatting sqref="L17">
    <cfRule type="cellIs" dxfId="102" priority="28" operator="equal">
      <formula>0</formula>
    </cfRule>
  </conditionalFormatting>
  <conditionalFormatting sqref="L18">
    <cfRule type="cellIs" dxfId="101" priority="27" operator="equal">
      <formula>0</formula>
    </cfRule>
  </conditionalFormatting>
  <conditionalFormatting sqref="L19">
    <cfRule type="cellIs" dxfId="100" priority="26" operator="equal">
      <formula>0</formula>
    </cfRule>
  </conditionalFormatting>
  <conditionalFormatting sqref="L20">
    <cfRule type="cellIs" dxfId="99" priority="25" operator="equal">
      <formula>0</formula>
    </cfRule>
  </conditionalFormatting>
  <conditionalFormatting sqref="L21">
    <cfRule type="cellIs" dxfId="98" priority="24" operator="equal">
      <formula>0</formula>
    </cfRule>
  </conditionalFormatting>
  <conditionalFormatting sqref="L22">
    <cfRule type="cellIs" dxfId="97" priority="23" operator="equal">
      <formula>0</formula>
    </cfRule>
  </conditionalFormatting>
  <conditionalFormatting sqref="L23">
    <cfRule type="cellIs" dxfId="96" priority="22" operator="equal">
      <formula>0</formula>
    </cfRule>
  </conditionalFormatting>
  <conditionalFormatting sqref="J24">
    <cfRule type="cellIs" dxfId="95" priority="21" operator="equal">
      <formula>0</formula>
    </cfRule>
  </conditionalFormatting>
  <conditionalFormatting sqref="K24">
    <cfRule type="cellIs" dxfId="94" priority="20" operator="equal">
      <formula>0</formula>
    </cfRule>
  </conditionalFormatting>
  <conditionalFormatting sqref="J25">
    <cfRule type="cellIs" dxfId="93" priority="19" operator="equal">
      <formula>0</formula>
    </cfRule>
  </conditionalFormatting>
  <conditionalFormatting sqref="K25">
    <cfRule type="cellIs" dxfId="92" priority="18" operator="equal">
      <formula>0</formula>
    </cfRule>
  </conditionalFormatting>
  <conditionalFormatting sqref="G33">
    <cfRule type="cellIs" dxfId="91" priority="15" operator="equal">
      <formula>0</formula>
    </cfRule>
  </conditionalFormatting>
  <conditionalFormatting sqref="G35">
    <cfRule type="cellIs" dxfId="90" priority="14" operator="equal">
      <formula>0</formula>
    </cfRule>
  </conditionalFormatting>
  <conditionalFormatting sqref="G28">
    <cfRule type="cellIs" dxfId="89" priority="8" operator="equal">
      <formula>0</formula>
    </cfRule>
  </conditionalFormatting>
  <conditionalFormatting sqref="G31">
    <cfRule type="cellIs" dxfId="88" priority="12" operator="equal">
      <formula>0</formula>
    </cfRule>
  </conditionalFormatting>
  <conditionalFormatting sqref="G32">
    <cfRule type="cellIs" dxfId="87" priority="11" operator="equal">
      <formula>0</formula>
    </cfRule>
  </conditionalFormatting>
  <conditionalFormatting sqref="G27">
    <cfRule type="cellIs" dxfId="86" priority="13" operator="equal">
      <formula>0</formula>
    </cfRule>
  </conditionalFormatting>
  <conditionalFormatting sqref="G37">
    <cfRule type="cellIs" dxfId="85" priority="10" operator="equal">
      <formula>0</formula>
    </cfRule>
  </conditionalFormatting>
  <conditionalFormatting sqref="G34">
    <cfRule type="cellIs" dxfId="84" priority="9" operator="equal">
      <formula>0</formula>
    </cfRule>
  </conditionalFormatting>
  <conditionalFormatting sqref="G30">
    <cfRule type="cellIs" dxfId="83" priority="7" operator="equal">
      <formula>0</formula>
    </cfRule>
  </conditionalFormatting>
  <conditionalFormatting sqref="G29">
    <cfRule type="cellIs" dxfId="82" priority="6" operator="equal">
      <formula>0</formula>
    </cfRule>
  </conditionalFormatting>
  <conditionalFormatting sqref="G38">
    <cfRule type="cellIs" dxfId="81" priority="5" operator="equal">
      <formula>0</formula>
    </cfRule>
  </conditionalFormatting>
  <conditionalFormatting sqref="G40">
    <cfRule type="cellIs" dxfId="80" priority="4" operator="equal">
      <formula>0</formula>
    </cfRule>
  </conditionalFormatting>
  <conditionalFormatting sqref="G39">
    <cfRule type="cellIs" dxfId="79" priority="3" operator="equal">
      <formula>0</formula>
    </cfRule>
  </conditionalFormatting>
  <conditionalFormatting sqref="G36">
    <cfRule type="cellIs" dxfId="78" priority="2" operator="equal">
      <formula>0</formula>
    </cfRule>
  </conditionalFormatting>
  <conditionalFormatting sqref="G41">
    <cfRule type="cellIs" dxfId="7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election activeCell="L4" sqref="L4"/>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9.54296875" style="16" bestFit="1" customWidth="1"/>
    <col min="6" max="6" width="8.6328125" style="16" bestFit="1" customWidth="1"/>
    <col min="7" max="7" width="13.54296875" style="16" bestFit="1" customWidth="1"/>
    <col min="8" max="8" width="11.36328125" style="16" bestFit="1" customWidth="1"/>
    <col min="9" max="10" width="11.36328125" style="16" customWidth="1"/>
    <col min="11" max="11" width="41.08984375" style="16" bestFit="1" customWidth="1"/>
    <col min="12" max="12" width="40.36328125" style="16" customWidth="1"/>
    <col min="13" max="13" width="31.6328125" style="16" bestFit="1" customWidth="1"/>
    <col min="14" max="14" width="11.36328125" style="16" bestFit="1" customWidth="1"/>
    <col min="15" max="15" width="4.6328125" style="16" bestFit="1" customWidth="1"/>
    <col min="16" max="16384" width="9.08984375" style="16"/>
  </cols>
  <sheetData>
    <row r="1" spans="1:15" ht="24" thickBot="1" x14ac:dyDescent="0.6">
      <c r="B1" s="29" t="s">
        <v>412</v>
      </c>
      <c r="C1" s="30" t="s">
        <v>622</v>
      </c>
    </row>
    <row r="2" spans="1:15" ht="15" customHeight="1" thickBot="1" x14ac:dyDescent="0.4">
      <c r="A2" s="37" t="s">
        <v>0</v>
      </c>
      <c r="B2" s="43" t="s">
        <v>1</v>
      </c>
      <c r="C2" s="43" t="s">
        <v>383</v>
      </c>
      <c r="D2" s="43" t="s">
        <v>2</v>
      </c>
      <c r="E2" s="86" t="s">
        <v>3</v>
      </c>
      <c r="F2" s="87" t="s">
        <v>4</v>
      </c>
      <c r="G2" s="87" t="s">
        <v>5</v>
      </c>
      <c r="H2" s="87" t="s">
        <v>6</v>
      </c>
      <c r="I2" s="87" t="s">
        <v>397</v>
      </c>
      <c r="J2" s="87" t="s">
        <v>398</v>
      </c>
      <c r="K2" s="87" t="s">
        <v>638</v>
      </c>
      <c r="L2" s="36" t="s">
        <v>436</v>
      </c>
      <c r="M2" s="87" t="s">
        <v>7</v>
      </c>
      <c r="N2" s="87" t="s">
        <v>8</v>
      </c>
      <c r="O2" s="121" t="s">
        <v>640</v>
      </c>
    </row>
    <row r="3" spans="1:15" x14ac:dyDescent="0.35">
      <c r="A3" s="182" t="s">
        <v>51</v>
      </c>
      <c r="B3" s="105" t="s">
        <v>631</v>
      </c>
      <c r="C3" s="105" t="s">
        <v>631</v>
      </c>
      <c r="D3" s="105"/>
      <c r="E3" s="115" t="s">
        <v>52</v>
      </c>
      <c r="F3" s="116">
        <f ca="1">IF($C3="No Param",32,VLOOKUP($C3,INDIRECT(Config!$B$1),HLOOKUP(C$1,INDIRECT(Config!$E$1),2,FALSE),FALSE))</f>
        <v>512</v>
      </c>
      <c r="G3" s="107" t="s">
        <v>53</v>
      </c>
      <c r="H3" s="107" t="s">
        <v>637</v>
      </c>
      <c r="I3" s="107" t="s">
        <v>399</v>
      </c>
      <c r="J3" s="107" t="s">
        <v>399</v>
      </c>
      <c r="K3" s="107"/>
      <c r="L3" s="65" t="s">
        <v>667</v>
      </c>
      <c r="M3" s="108" t="s">
        <v>50</v>
      </c>
      <c r="N3" s="168" t="s">
        <v>50</v>
      </c>
      <c r="O3" s="169">
        <f ca="1">SUM(F3:F17)</f>
        <v>5184</v>
      </c>
    </row>
    <row r="4" spans="1:15" ht="15" customHeight="1" x14ac:dyDescent="0.35">
      <c r="A4" s="183"/>
      <c r="B4" s="46" t="s">
        <v>54</v>
      </c>
      <c r="C4" s="46" t="s">
        <v>261</v>
      </c>
      <c r="D4" s="46" t="s">
        <v>18</v>
      </c>
      <c r="E4" s="32" t="s">
        <v>52</v>
      </c>
      <c r="F4" s="51">
        <f ca="1">VLOOKUP("TRC_PRESENT", INDIRECT(Config!$B$1), HLOOKUP(C$1, INDIRECT(Config!$E$1), 2, FALSE),FALSE)*32</f>
        <v>32</v>
      </c>
      <c r="G4" s="17" t="s">
        <v>55</v>
      </c>
      <c r="H4" s="17" t="str">
        <f>CONCATENATE("0x",DEC2HEX(HEX2DEC(SUBSTITUTE(H3,"0x",""))+HEX2DEC(SUBSTITUTE(G4,"0x",""))))</f>
        <v>0xF00B0840</v>
      </c>
      <c r="I4" s="17" t="s">
        <v>399</v>
      </c>
      <c r="J4" s="17" t="s">
        <v>399</v>
      </c>
      <c r="K4" s="84" t="str">
        <f ca="1">IF(VLOOKUP("EXT_FUSE_PULL_SUPP", INDIRECT(Config!$B$1),HLOOKUP(C$1,INDIRECT(Config!$E$1),2,FALSE),FALSE)=1, IF(F4&gt;0,CONCATENATE("GSK_OEM_IFP_CONFIG[",F4-1,":0]"),""), "")</f>
        <v/>
      </c>
      <c r="L4" s="7" t="s">
        <v>668</v>
      </c>
      <c r="M4" s="184" t="s">
        <v>381</v>
      </c>
      <c r="N4" s="166"/>
      <c r="O4" s="170"/>
    </row>
    <row r="5" spans="1:15" x14ac:dyDescent="0.35">
      <c r="A5" s="183"/>
      <c r="B5" s="46" t="s">
        <v>56</v>
      </c>
      <c r="C5" s="46" t="s">
        <v>261</v>
      </c>
      <c r="D5" s="46" t="s">
        <v>18</v>
      </c>
      <c r="E5" s="32" t="s">
        <v>52</v>
      </c>
      <c r="F5" s="51">
        <f ca="1">VLOOKUP("TRC_PRESENT", INDIRECT(Config!$B$1), HLOOKUP(C$1, INDIRECT(Config!$E$1), 2, FALSE),FALSE)*32</f>
        <v>32</v>
      </c>
      <c r="G5" s="17" t="s">
        <v>57</v>
      </c>
      <c r="H5" s="17" t="str">
        <f>CONCATENATE("0x",DEC2HEX(HEX2DEC(SUBSTITUTE(H3,"0x",""))+HEX2DEC(SUBSTITUTE(G5,"0x",""))))</f>
        <v>0xF00B0844</v>
      </c>
      <c r="I5" s="17" t="s">
        <v>399</v>
      </c>
      <c r="J5" s="17" t="s">
        <v>399</v>
      </c>
      <c r="K5" s="84" t="str">
        <f ca="1">IF(VLOOKUP("EXT_FUSE_PULL_SUPP", INDIRECT(Config!$B$1),HLOOKUP(C$1,INDIRECT(Config!$E$1),2,FALSE),FALSE)=1, IF(F5&gt;0,CONCATENATE("GSK_TRC_DIS[",F5-1,":0]"),""), "")</f>
        <v/>
      </c>
      <c r="L5" s="7" t="s">
        <v>669</v>
      </c>
      <c r="M5" s="184"/>
      <c r="N5" s="166"/>
      <c r="O5" s="170"/>
    </row>
    <row r="6" spans="1:15" x14ac:dyDescent="0.35">
      <c r="A6" s="183"/>
      <c r="B6" s="46" t="s">
        <v>371</v>
      </c>
      <c r="C6" s="17" t="s">
        <v>372</v>
      </c>
      <c r="D6" s="46" t="s">
        <v>564</v>
      </c>
      <c r="E6" s="32" t="s">
        <v>52</v>
      </c>
      <c r="F6" s="51">
        <f ca="1">VLOOKUP("OEM_SECRET_KEY_FUSES_LIMIT", INDIRECT(Config!$B$1), HLOOKUP(C$1, INDIRECT(Config!$E$1), 2, FALSE),FALSE)*32</f>
        <v>0</v>
      </c>
      <c r="G6" s="17" t="s">
        <v>417</v>
      </c>
      <c r="H6" s="17" t="str">
        <f>CONCATENATE("0x",DEC2HEX(HEX2DEC(SUBSTITUTE(H3,"0x",""))+HEX2DEC(SUBSTITUTE(G6,"0x",""))))</f>
        <v>0xF00B0880</v>
      </c>
      <c r="I6" s="17" t="s">
        <v>399</v>
      </c>
      <c r="J6" s="17" t="s">
        <v>399</v>
      </c>
      <c r="K6" s="84" t="str">
        <f ca="1">IF(VLOOKUP("EXT_FUSE_PULL_SUPP", INDIRECT(Config!$B$1),HLOOKUP(C$1,INDIRECT(Config!$E$1),2,FALSE),FALSE)=1, IF(F6&gt;0,CONCATENATE("GSK_OEM_SECRET_KEYS_DWn[",F6-1,":0]"),""), "")</f>
        <v/>
      </c>
      <c r="L6" s="3" t="s">
        <v>670</v>
      </c>
      <c r="M6" s="184"/>
      <c r="N6" s="166"/>
      <c r="O6" s="170"/>
    </row>
    <row r="7" spans="1:15" x14ac:dyDescent="0.35">
      <c r="A7" s="183"/>
      <c r="B7" s="109" t="s">
        <v>630</v>
      </c>
      <c r="C7" s="109" t="s">
        <v>685</v>
      </c>
      <c r="D7" s="109"/>
      <c r="E7" s="117" t="s">
        <v>52</v>
      </c>
      <c r="F7" s="106">
        <f ca="1">IF($C7="No Param",32,
IF("FW_IFP_GENERAL"=$C7,
IF(VLOOKUP($C7,INDIRECT(Config!$B$1),HLOOKUP(C$1,INDIRECT(Config!$E$1),2,FALSE),FALSE)*32&gt;2048,2048,
MOD(VLOOKUP($C7,INDIRECT(Config!$B$1),HLOOKUP(C$1,INDIRECT(Config!$E$1),2,FALSE),FALSE)*32,2048)),
VLOOKUP($C7,INDIRECT(Config!$B$1),HLOOKUP(C$1,INDIRECT(Config!$E$1),2,FALSE),FALSE)*32))</f>
        <v>2048</v>
      </c>
      <c r="G7" s="110" t="s">
        <v>58</v>
      </c>
      <c r="H7" s="110" t="str">
        <f>CONCATENATE("0x",DEC2HEX(HEX2DEC(SUBSTITUTE(H3,"0x",""))+HEX2DEC(SUBSTITUTE(G7,"0x",""))))</f>
        <v>0xF00B0900</v>
      </c>
      <c r="I7" s="111" t="s">
        <v>399</v>
      </c>
      <c r="J7" s="111" t="s">
        <v>399</v>
      </c>
      <c r="K7" s="119" t="str">
        <f ca="1">IF(VLOOKUP("EXT_FUSE_PULL_SUPP", INDIRECT(Config!$B$1),HLOOKUP(C$1,INDIRECT(Config!$E$1),2,FALSE),FALSE)=1, IF(F7&gt;0,CONCATENATE("CSME_HW_IFP_FUSES[",F7-1,":0]"),""), "")</f>
        <v/>
      </c>
      <c r="L7" s="83" t="s">
        <v>672</v>
      </c>
      <c r="M7" s="111" t="s">
        <v>50</v>
      </c>
      <c r="N7" s="166"/>
      <c r="O7" s="170"/>
    </row>
    <row r="8" spans="1:15" x14ac:dyDescent="0.35">
      <c r="A8" s="183"/>
      <c r="B8" s="109" t="s">
        <v>632</v>
      </c>
      <c r="C8" s="109" t="s">
        <v>632</v>
      </c>
      <c r="D8" s="109"/>
      <c r="E8" s="117" t="s">
        <v>415</v>
      </c>
      <c r="F8" s="106">
        <f ca="1">IF($C8="No Param",32,VLOOKUP($C8,INDIRECT(Config!$B$1),HLOOKUP(C$1,INDIRECT(Config!$E$1),2,FALSE),FALSE))</f>
        <v>512</v>
      </c>
      <c r="G8" s="110" t="s">
        <v>425</v>
      </c>
      <c r="H8" s="110" t="str">
        <f>CONCATENATE("0x",DEC2HEX(HEX2DEC(SUBSTITUTE(H3,"0x",""))+HEX2DEC(SUBSTITUTE(G8,"0x",""))))</f>
        <v>0xF00B0A00</v>
      </c>
      <c r="I8" s="111" t="s">
        <v>399</v>
      </c>
      <c r="J8" s="111" t="s">
        <v>399</v>
      </c>
      <c r="K8" s="111"/>
      <c r="L8" s="7" t="s">
        <v>667</v>
      </c>
      <c r="M8" s="111" t="s">
        <v>50</v>
      </c>
      <c r="N8" s="166"/>
      <c r="O8" s="170"/>
    </row>
    <row r="9" spans="1:15" ht="15" customHeight="1" x14ac:dyDescent="0.35">
      <c r="A9" s="183"/>
      <c r="B9" s="46" t="s">
        <v>366</v>
      </c>
      <c r="C9" s="17" t="s">
        <v>367</v>
      </c>
      <c r="D9" s="46" t="s">
        <v>18</v>
      </c>
      <c r="E9" s="32" t="s">
        <v>415</v>
      </c>
      <c r="F9" s="51">
        <f ca="1">IF(VLOOKUP("PARAM_INT_IFP_TRIPLE_RDD_DIS", INDIRECT(Config!$B$1), HLOOKUP(C$1, INDIRECT(Config!$E$1), 2, FALSE),FALSE)=0, VLOOKUP("TRC_PRESENT", INDIRECT(Config!$B$1), HLOOKUP(C$1, INDIRECT(Config!$E$1), 2, FALSE),FALSE)*32, 0)</f>
        <v>0</v>
      </c>
      <c r="G9" s="17" t="s">
        <v>420</v>
      </c>
      <c r="H9" s="17" t="str">
        <f>CONCATENATE("0x",DEC2HEX(HEX2DEC(SUBSTITUTE(H3,"0x",""))+HEX2DEC(SUBSTITUTE(G9,"0x",""))))</f>
        <v>0xF00B0A40</v>
      </c>
      <c r="I9" s="17" t="s">
        <v>399</v>
      </c>
      <c r="J9" s="17" t="s">
        <v>399</v>
      </c>
      <c r="K9" s="84" t="str">
        <f ca="1">IF(VLOOKUP("EXT_FUSE_PULL_SUPP", INDIRECT(Config!$B$1),HLOOKUP(C$1,INDIRECT(Config!$E$1),2,FALSE),FALSE)=1, IF(F9&gt;0,CONCATENATE("GSK_OEM_IFP_CONFIG_COPY1[",F9-1,":0]"),""), "")</f>
        <v/>
      </c>
      <c r="L9" s="7" t="s">
        <v>668</v>
      </c>
      <c r="M9" s="184" t="s">
        <v>381</v>
      </c>
      <c r="N9" s="166"/>
      <c r="O9" s="170"/>
    </row>
    <row r="10" spans="1:15" x14ac:dyDescent="0.35">
      <c r="A10" s="183"/>
      <c r="B10" s="46" t="s">
        <v>413</v>
      </c>
      <c r="C10" s="17" t="s">
        <v>367</v>
      </c>
      <c r="D10" s="46" t="s">
        <v>18</v>
      </c>
      <c r="E10" s="32" t="s">
        <v>415</v>
      </c>
      <c r="F10" s="51">
        <f ca="1">IF(VLOOKUP("PARAM_INT_IFP_TRIPLE_RDD_DIS", INDIRECT(Config!$B$1), HLOOKUP(C$1, INDIRECT(Config!$E$1), 2, FALSE),FALSE)=0, VLOOKUP("TRC_PRESENT", INDIRECT(Config!$B$1), HLOOKUP(C$1, INDIRECT(Config!$E$1), 2, FALSE),FALSE)*32, 0)</f>
        <v>0</v>
      </c>
      <c r="G10" s="17" t="s">
        <v>423</v>
      </c>
      <c r="H10" s="17" t="str">
        <f>CONCATENATE("0x",DEC2HEX(HEX2DEC(SUBSTITUTE(H3,"0x",""))+HEX2DEC(SUBSTITUTE(G10,"0x",""))))</f>
        <v>0xF00B0A44</v>
      </c>
      <c r="I10" s="17" t="s">
        <v>399</v>
      </c>
      <c r="J10" s="17" t="s">
        <v>399</v>
      </c>
      <c r="K10" s="84" t="str">
        <f ca="1">IF(VLOOKUP("EXT_FUSE_PULL_SUPP", INDIRECT(Config!$B$1),HLOOKUP(C$1,INDIRECT(Config!$E$1),2,FALSE),FALSE)=1, IF(F10&gt;0,CONCATENATE("GSK_TRC_DIS_COPY1[",F10-1,":0]"),""), "")</f>
        <v/>
      </c>
      <c r="L10" s="7" t="s">
        <v>669</v>
      </c>
      <c r="M10" s="184"/>
      <c r="N10" s="166"/>
      <c r="O10" s="170"/>
    </row>
    <row r="11" spans="1:15" x14ac:dyDescent="0.35">
      <c r="A11" s="183"/>
      <c r="B11" s="46" t="s">
        <v>374</v>
      </c>
      <c r="C11" s="17" t="s">
        <v>375</v>
      </c>
      <c r="D11" s="46" t="s">
        <v>564</v>
      </c>
      <c r="E11" s="32" t="s">
        <v>415</v>
      </c>
      <c r="F11" s="51">
        <f ca="1">IF(VLOOKUP("PARAM_INT_IFP_TRIPLE_RDD_DIS", INDIRECT(Config!$B$1), HLOOKUP(C$1, INDIRECT(Config!$E$1), 2, FALSE),FALSE)=0, VLOOKUP("OEM_SECRET_KEY_FUSES_LIMIT", INDIRECT(Config!$B$1), HLOOKUP(C$1, INDIRECT(Config!$E$1), 2, FALSE),FALSE)*32, 0)</f>
        <v>0</v>
      </c>
      <c r="G11" s="17" t="s">
        <v>418</v>
      </c>
      <c r="H11" s="17" t="str">
        <f>CONCATENATE("0x",DEC2HEX(HEX2DEC(SUBSTITUTE(H3,"0x",""))+HEX2DEC(SUBSTITUTE(G11,"0x",""))))</f>
        <v>0xF00B0A80</v>
      </c>
      <c r="I11" s="17" t="s">
        <v>399</v>
      </c>
      <c r="J11" s="17" t="s">
        <v>399</v>
      </c>
      <c r="K11" s="84" t="str">
        <f ca="1">IF(VLOOKUP("EXT_FUSE_PULL_SUPP", INDIRECT(Config!$B$1),HLOOKUP(C$1,INDIRECT(Config!$E$1),2,FALSE),FALSE)=1, IF(F11&gt;0,CONCATENATE("GSK_OEM_SECRET_KEYS_DWn_COPY1[",F11-1,":0]"),""), "")</f>
        <v/>
      </c>
      <c r="L11" s="3" t="s">
        <v>670</v>
      </c>
      <c r="M11" s="184"/>
      <c r="N11" s="166"/>
      <c r="O11" s="170"/>
    </row>
    <row r="12" spans="1:15" x14ac:dyDescent="0.35">
      <c r="A12" s="183"/>
      <c r="B12" s="109" t="s">
        <v>633</v>
      </c>
      <c r="C12" s="109" t="s">
        <v>685</v>
      </c>
      <c r="D12" s="109"/>
      <c r="E12" s="117" t="s">
        <v>415</v>
      </c>
      <c r="F12" s="106">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2048</v>
      </c>
      <c r="G12" s="110" t="s">
        <v>424</v>
      </c>
      <c r="H12" s="110" t="str">
        <f>CONCATENATE("0x",DEC2HEX(HEX2DEC(SUBSTITUTE(H3,"0x",""))+HEX2DEC(SUBSTITUTE(G12,"0x",""))))</f>
        <v>0xF00B0B00</v>
      </c>
      <c r="I12" s="111" t="s">
        <v>399</v>
      </c>
      <c r="J12" s="111" t="s">
        <v>399</v>
      </c>
      <c r="K12" s="119" t="str">
        <f ca="1">IF(VLOOKUP("EXT_FUSE_PULL_SUPP", INDIRECT(Config!$B$1),HLOOKUP(C$1,INDIRECT(Config!$E$1),2,FALSE),FALSE)=1, IF(F12&gt;0,CONCATENATE("CSME_HW_IFP_FUSES_COPY1[",F12-1,":0]"),""), "")</f>
        <v/>
      </c>
      <c r="L12" s="83" t="s">
        <v>673</v>
      </c>
      <c r="M12" s="111" t="s">
        <v>50</v>
      </c>
      <c r="N12" s="166"/>
      <c r="O12" s="170"/>
    </row>
    <row r="13" spans="1:15" x14ac:dyDescent="0.35">
      <c r="A13" s="183"/>
      <c r="B13" s="109" t="s">
        <v>634</v>
      </c>
      <c r="C13" s="109" t="s">
        <v>634</v>
      </c>
      <c r="D13" s="109"/>
      <c r="E13" s="117" t="s">
        <v>416</v>
      </c>
      <c r="F13" s="106">
        <f ca="1">IF($C13="No Param",32,VLOOKUP($C13,INDIRECT(Config!$B$1),HLOOKUP(C$1,INDIRECT(Config!$E$1),2,FALSE),FALSE))</f>
        <v>0</v>
      </c>
      <c r="G13" s="110" t="s">
        <v>426</v>
      </c>
      <c r="H13" s="110" t="str">
        <f>CONCATENATE("0x",DEC2HEX(HEX2DEC(SUBSTITUTE(H3,"0x",""))+HEX2DEC(SUBSTITUTE(G13,"0x",""))))</f>
        <v>0xF00B0C00</v>
      </c>
      <c r="I13" s="111" t="s">
        <v>399</v>
      </c>
      <c r="J13" s="111" t="s">
        <v>399</v>
      </c>
      <c r="K13" s="111"/>
      <c r="L13" s="7" t="s">
        <v>667</v>
      </c>
      <c r="M13" s="111" t="s">
        <v>50</v>
      </c>
      <c r="N13" s="166"/>
      <c r="O13" s="170"/>
    </row>
    <row r="14" spans="1:15" ht="15" customHeight="1" x14ac:dyDescent="0.35">
      <c r="A14" s="183"/>
      <c r="B14" s="46" t="s">
        <v>369</v>
      </c>
      <c r="C14" s="17" t="s">
        <v>367</v>
      </c>
      <c r="D14" s="46" t="s">
        <v>18</v>
      </c>
      <c r="E14" s="32" t="s">
        <v>416</v>
      </c>
      <c r="F14" s="51">
        <f ca="1">IF(VLOOKUP("PARAM_INT_IFP_TRIPLE_RDD_DIS", INDIRECT(Config!$B$1), HLOOKUP(C$1, INDIRECT(Config!$E$1), 2, FALSE),FALSE)=0, VLOOKUP("TRC_PRESENT", INDIRECT(Config!$B$1), HLOOKUP(C$1, INDIRECT(Config!$E$1), 2, FALSE),FALSE)*32, 0)</f>
        <v>0</v>
      </c>
      <c r="G14" s="17" t="s">
        <v>422</v>
      </c>
      <c r="H14" s="17" t="str">
        <f>CONCATENATE("0x",DEC2HEX(HEX2DEC(SUBSTITUTE(H3,"0x",""))+HEX2DEC(SUBSTITUTE(G14,"0x",""))))</f>
        <v>0xF00B0C40</v>
      </c>
      <c r="I14" s="17" t="s">
        <v>399</v>
      </c>
      <c r="J14" s="17" t="s">
        <v>399</v>
      </c>
      <c r="K14" s="84" t="str">
        <f ca="1">IF(VLOOKUP("EXT_FUSE_PULL_SUPP", INDIRECT(Config!$B$1),HLOOKUP(C$1,INDIRECT(Config!$E$1),2,FALSE),FALSE)=1, IF(F14&gt;0,CONCATENATE("GSK_OEM_IFP_CONFIG_COPY2[",F14-1,":0]"),""), "")</f>
        <v/>
      </c>
      <c r="L14" s="7" t="s">
        <v>668</v>
      </c>
      <c r="M14" s="184" t="s">
        <v>381</v>
      </c>
      <c r="N14" s="166"/>
      <c r="O14" s="170"/>
    </row>
    <row r="15" spans="1:15" x14ac:dyDescent="0.35">
      <c r="A15" s="183"/>
      <c r="B15" s="46" t="s">
        <v>414</v>
      </c>
      <c r="C15" s="17" t="s">
        <v>367</v>
      </c>
      <c r="D15" s="46" t="s">
        <v>18</v>
      </c>
      <c r="E15" s="32" t="s">
        <v>416</v>
      </c>
      <c r="F15" s="51">
        <f ca="1">IF(VLOOKUP("PARAM_INT_IFP_TRIPLE_RDD_DIS", INDIRECT(Config!$B$1), HLOOKUP(C$1, INDIRECT(Config!$E$1), 2, FALSE),FALSE)=0, VLOOKUP("TRC_PRESENT", INDIRECT(Config!$B$1), HLOOKUP(C$1, INDIRECT(Config!$E$1), 2, FALSE),FALSE)*32, 0)</f>
        <v>0</v>
      </c>
      <c r="G15" s="17" t="s">
        <v>421</v>
      </c>
      <c r="H15" s="17" t="str">
        <f>CONCATENATE("0x",DEC2HEX(HEX2DEC(SUBSTITUTE(H3,"0x",""))+HEX2DEC(SUBSTITUTE(G15,"0x",""))))</f>
        <v>0xF00B0C44</v>
      </c>
      <c r="I15" s="17" t="s">
        <v>399</v>
      </c>
      <c r="J15" s="17" t="s">
        <v>399</v>
      </c>
      <c r="K15" s="84" t="str">
        <f ca="1">IF(VLOOKUP("EXT_FUSE_PULL_SUPP", INDIRECT(Config!$B$1),HLOOKUP(C$1,INDIRECT(Config!$E$1),2,FALSE),FALSE)=1, IF(F15&gt;0,CONCATENATE("GSK_TRC_DIS_COPY2[",F15-1,":0]"),""), "")</f>
        <v/>
      </c>
      <c r="L15" s="7" t="s">
        <v>669</v>
      </c>
      <c r="M15" s="184"/>
      <c r="N15" s="166"/>
      <c r="O15" s="170"/>
    </row>
    <row r="16" spans="1:15" x14ac:dyDescent="0.35">
      <c r="A16" s="183"/>
      <c r="B16" s="46" t="s">
        <v>377</v>
      </c>
      <c r="C16" s="17" t="s">
        <v>375</v>
      </c>
      <c r="D16" s="46" t="s">
        <v>564</v>
      </c>
      <c r="E16" s="32" t="s">
        <v>416</v>
      </c>
      <c r="F16" s="51">
        <f ca="1">IF(VLOOKUP("PARAM_INT_IFP_TRIPLE_RDD_DIS", INDIRECT(Config!$B$1), HLOOKUP(C$1, INDIRECT(Config!$E$1), 2, FALSE),FALSE)=0, VLOOKUP("OEM_SECRET_KEY_FUSES_LIMIT", INDIRECT(Config!$B$1), HLOOKUP(C$1, INDIRECT(Config!$E$1), 2, FALSE),FALSE)*32, 0)</f>
        <v>0</v>
      </c>
      <c r="G16" s="17" t="s">
        <v>419</v>
      </c>
      <c r="H16" s="17" t="str">
        <f>CONCATENATE("0x",DEC2HEX(HEX2DEC(SUBSTITUTE(H3,"0x",""))+HEX2DEC(SUBSTITUTE(G16,"0x",""))))</f>
        <v>0xF00B0C80</v>
      </c>
      <c r="I16" s="17" t="s">
        <v>399</v>
      </c>
      <c r="J16" s="17" t="s">
        <v>399</v>
      </c>
      <c r="K16" s="84" t="str">
        <f ca="1">IF(VLOOKUP("EXT_FUSE_PULL_SUPP", INDIRECT(Config!$B$1),HLOOKUP(C$1,INDIRECT(Config!$E$1),2,FALSE),FALSE)=1, IF(F16&gt;0,CONCATENATE("GSK_OEM_SECRET_KEYS_DWn_COPY2[",F16-1,":0]"),""), "")</f>
        <v/>
      </c>
      <c r="L16" s="3" t="s">
        <v>670</v>
      </c>
      <c r="M16" s="184"/>
      <c r="N16" s="166"/>
      <c r="O16" s="170"/>
    </row>
    <row r="17" spans="1:15" ht="15" thickBot="1" x14ac:dyDescent="0.4">
      <c r="A17" s="186"/>
      <c r="B17" s="112" t="s">
        <v>635</v>
      </c>
      <c r="C17" s="112" t="s">
        <v>685</v>
      </c>
      <c r="D17" s="112"/>
      <c r="E17" s="118" t="s">
        <v>416</v>
      </c>
      <c r="F17" s="153">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113" t="s">
        <v>427</v>
      </c>
      <c r="H17" s="113" t="str">
        <f>CONCATENATE("0x",DEC2HEX(HEX2DEC(SUBSTITUTE(H3,"0x",""))+HEX2DEC(SUBSTITUTE(G17,"0x",""))))</f>
        <v>0xF00B0D00</v>
      </c>
      <c r="I17" s="114" t="s">
        <v>399</v>
      </c>
      <c r="J17" s="113" t="s">
        <v>399</v>
      </c>
      <c r="K17" s="113" t="str">
        <f ca="1">IF(VLOOKUP("EXT_FUSE_PULL_SUPP", INDIRECT(Config!$B$1),HLOOKUP(C$1,INDIRECT(Config!$E$1),2,FALSE),FALSE)=1, IF(F17&gt;0,CONCATENATE("CSME_HW_IFP_FUSES_COPY2[",F17-1,":0]"),""), "")</f>
        <v/>
      </c>
      <c r="L17" s="33" t="s">
        <v>671</v>
      </c>
      <c r="M17" s="114" t="s">
        <v>50</v>
      </c>
      <c r="N17" s="167"/>
      <c r="O17" s="171"/>
    </row>
    <row r="18" spans="1:15" ht="15" customHeight="1" x14ac:dyDescent="0.35"/>
    <row r="19" spans="1:15" ht="15" customHeight="1" x14ac:dyDescent="0.35"/>
    <row r="20" spans="1:15" ht="15" customHeight="1" x14ac:dyDescent="0.35"/>
    <row r="21" spans="1:15" ht="15" customHeight="1" x14ac:dyDescent="0.35"/>
  </sheetData>
  <mergeCells count="6">
    <mergeCell ref="M14:M16"/>
    <mergeCell ref="A3:A17"/>
    <mergeCell ref="N3:N17"/>
    <mergeCell ref="O3:O17"/>
    <mergeCell ref="M4:M6"/>
    <mergeCell ref="M9:M11"/>
  </mergeCells>
  <conditionalFormatting sqref="I3">
    <cfRule type="cellIs" dxfId="76" priority="135" operator="equal">
      <formula>0</formula>
    </cfRule>
  </conditionalFormatting>
  <conditionalFormatting sqref="K7">
    <cfRule type="cellIs" dxfId="75" priority="72" operator="equal">
      <formula>0</formula>
    </cfRule>
  </conditionalFormatting>
  <conditionalFormatting sqref="K6">
    <cfRule type="cellIs" dxfId="74" priority="71" operator="equal">
      <formula>0</formula>
    </cfRule>
  </conditionalFormatting>
  <conditionalFormatting sqref="K5">
    <cfRule type="cellIs" dxfId="73" priority="70" operator="equal">
      <formula>0</formula>
    </cfRule>
  </conditionalFormatting>
  <conditionalFormatting sqref="K4">
    <cfRule type="cellIs" dxfId="72" priority="69" operator="equal">
      <formula>0</formula>
    </cfRule>
  </conditionalFormatting>
  <conditionalFormatting sqref="K12">
    <cfRule type="cellIs" dxfId="71" priority="68" operator="equal">
      <formula>0</formula>
    </cfRule>
  </conditionalFormatting>
  <conditionalFormatting sqref="K11">
    <cfRule type="cellIs" dxfId="70" priority="67" operator="equal">
      <formula>0</formula>
    </cfRule>
  </conditionalFormatting>
  <conditionalFormatting sqref="K10">
    <cfRule type="cellIs" dxfId="69" priority="66" operator="equal">
      <formula>0</formula>
    </cfRule>
  </conditionalFormatting>
  <conditionalFormatting sqref="K9">
    <cfRule type="cellIs" dxfId="68" priority="65" operator="equal">
      <formula>0</formula>
    </cfRule>
  </conditionalFormatting>
  <conditionalFormatting sqref="K17">
    <cfRule type="cellIs" dxfId="67" priority="64" operator="equal">
      <formula>0</formula>
    </cfRule>
  </conditionalFormatting>
  <conditionalFormatting sqref="K16">
    <cfRule type="cellIs" dxfId="66" priority="63" operator="equal">
      <formula>0</formula>
    </cfRule>
  </conditionalFormatting>
  <conditionalFormatting sqref="K15">
    <cfRule type="cellIs" dxfId="65" priority="62" operator="equal">
      <formula>0</formula>
    </cfRule>
  </conditionalFormatting>
  <conditionalFormatting sqref="K14">
    <cfRule type="cellIs" dxfId="64" priority="61" operator="equal">
      <formula>0</formula>
    </cfRule>
  </conditionalFormatting>
  <conditionalFormatting sqref="L3:L5 L7:L8 L12">
    <cfRule type="cellIs" dxfId="63" priority="39" operator="equal">
      <formula>0</formula>
    </cfRule>
  </conditionalFormatting>
  <conditionalFormatting sqref="L6">
    <cfRule type="cellIs" dxfId="62" priority="38" operator="equal">
      <formula>0</formula>
    </cfRule>
  </conditionalFormatting>
  <conditionalFormatting sqref="L13">
    <cfRule type="cellIs" dxfId="61" priority="31" operator="equal">
      <formula>0</formula>
    </cfRule>
  </conditionalFormatting>
  <conditionalFormatting sqref="L9:L10">
    <cfRule type="cellIs" dxfId="60" priority="36" operator="equal">
      <formula>0</formula>
    </cfRule>
  </conditionalFormatting>
  <conditionalFormatting sqref="L11">
    <cfRule type="cellIs" dxfId="59" priority="35" operator="equal">
      <formula>0</formula>
    </cfRule>
  </conditionalFormatting>
  <conditionalFormatting sqref="L14:L15">
    <cfRule type="cellIs" dxfId="58" priority="34" operator="equal">
      <formula>0</formula>
    </cfRule>
  </conditionalFormatting>
  <conditionalFormatting sqref="L16">
    <cfRule type="cellIs" dxfId="57" priority="33" operator="equal">
      <formula>0</formula>
    </cfRule>
  </conditionalFormatting>
  <conditionalFormatting sqref="F9">
    <cfRule type="cellIs" dxfId="56" priority="15" operator="equal">
      <formula>0</formula>
    </cfRule>
  </conditionalFormatting>
  <conditionalFormatting sqref="F11">
    <cfRule type="cellIs" dxfId="55" priority="14" operator="equal">
      <formula>0</formula>
    </cfRule>
  </conditionalFormatting>
  <conditionalFormatting sqref="F4">
    <cfRule type="cellIs" dxfId="54" priority="8" operator="equal">
      <formula>0</formula>
    </cfRule>
  </conditionalFormatting>
  <conditionalFormatting sqref="F7">
    <cfRule type="cellIs" dxfId="53" priority="12" operator="equal">
      <formula>0</formula>
    </cfRule>
  </conditionalFormatting>
  <conditionalFormatting sqref="F8">
    <cfRule type="cellIs" dxfId="52" priority="11" operator="equal">
      <formula>0</formula>
    </cfRule>
  </conditionalFormatting>
  <conditionalFormatting sqref="F3">
    <cfRule type="cellIs" dxfId="51" priority="13" operator="equal">
      <formula>0</formula>
    </cfRule>
  </conditionalFormatting>
  <conditionalFormatting sqref="F13">
    <cfRule type="cellIs" dxfId="50" priority="10" operator="equal">
      <formula>0</formula>
    </cfRule>
  </conditionalFormatting>
  <conditionalFormatting sqref="F10">
    <cfRule type="cellIs" dxfId="49" priority="9" operator="equal">
      <formula>0</formula>
    </cfRule>
  </conditionalFormatting>
  <conditionalFormatting sqref="F6">
    <cfRule type="cellIs" dxfId="48" priority="7" operator="equal">
      <formula>0</formula>
    </cfRule>
  </conditionalFormatting>
  <conditionalFormatting sqref="F5">
    <cfRule type="cellIs" dxfId="47" priority="6" operator="equal">
      <formula>0</formula>
    </cfRule>
  </conditionalFormatting>
  <conditionalFormatting sqref="F14">
    <cfRule type="cellIs" dxfId="46" priority="5" operator="equal">
      <formula>0</formula>
    </cfRule>
  </conditionalFormatting>
  <conditionalFormatting sqref="F16">
    <cfRule type="cellIs" dxfId="45" priority="4" operator="equal">
      <formula>0</formula>
    </cfRule>
  </conditionalFormatting>
  <conditionalFormatting sqref="F15">
    <cfRule type="cellIs" dxfId="44" priority="3" operator="equal">
      <formula>0</formula>
    </cfRule>
  </conditionalFormatting>
  <conditionalFormatting sqref="F12">
    <cfRule type="cellIs" dxfId="43" priority="2" operator="equal">
      <formula>0</formula>
    </cfRule>
  </conditionalFormatting>
  <conditionalFormatting sqref="F17">
    <cfRule type="cellIs" dxfId="42"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O126"/>
  <sheetViews>
    <sheetView topLeftCell="A39" zoomScale="85" zoomScaleNormal="85" workbookViewId="0">
      <selection activeCell="E61" sqref="E61"/>
    </sheetView>
  </sheetViews>
  <sheetFormatPr defaultColWidth="9.08984375" defaultRowHeight="14.5" x14ac:dyDescent="0.35"/>
  <cols>
    <col min="1" max="1" width="21.6328125" style="6" customWidth="1"/>
    <col min="2" max="2" width="59.36328125" style="6" customWidth="1"/>
    <col min="3" max="3" width="7.54296875" style="16" customWidth="1"/>
    <col min="4" max="4" width="5.6328125" style="16" customWidth="1"/>
    <col min="5" max="5" width="41" style="6" bestFit="1" customWidth="1"/>
    <col min="6" max="6" width="20" style="6" bestFit="1" customWidth="1"/>
    <col min="7" max="7" width="6" style="16" customWidth="1"/>
    <col min="8" max="8" width="5" style="16" customWidth="1"/>
    <col min="9" max="9" width="21.453125" style="6" customWidth="1"/>
    <col min="10" max="10" width="12.54296875" style="6" bestFit="1" customWidth="1"/>
    <col min="11" max="11" width="12.54296875" style="16" customWidth="1"/>
    <col min="12" max="12" width="36.90625" style="16" customWidth="1"/>
    <col min="13" max="15" width="9" style="6" bestFit="1" customWidth="1"/>
    <col min="16" max="16" width="20" style="6" customWidth="1"/>
    <col min="17" max="16384" width="9.08984375" style="6"/>
  </cols>
  <sheetData>
    <row r="1" spans="1:15" ht="20.25" customHeight="1" x14ac:dyDescent="0.35">
      <c r="A1" s="1" t="s">
        <v>59</v>
      </c>
      <c r="B1" s="1" t="s">
        <v>60</v>
      </c>
      <c r="C1" s="1" t="s">
        <v>394</v>
      </c>
      <c r="D1" s="1" t="s">
        <v>395</v>
      </c>
      <c r="E1" s="1" t="s">
        <v>61</v>
      </c>
      <c r="F1" s="1" t="s">
        <v>62</v>
      </c>
      <c r="G1" s="1" t="s">
        <v>385</v>
      </c>
      <c r="H1" s="1" t="s">
        <v>384</v>
      </c>
      <c r="I1" s="1" t="s">
        <v>63</v>
      </c>
      <c r="J1" s="1" t="s">
        <v>64</v>
      </c>
      <c r="K1" s="1" t="s">
        <v>694</v>
      </c>
      <c r="L1" s="1" t="s">
        <v>436</v>
      </c>
      <c r="M1" s="1" t="s">
        <v>622</v>
      </c>
      <c r="N1" s="1" t="s">
        <v>623</v>
      </c>
      <c r="O1" s="1" t="s">
        <v>624</v>
      </c>
    </row>
    <row r="2" spans="1:15" x14ac:dyDescent="0.35">
      <c r="A2" s="191" t="s">
        <v>65</v>
      </c>
      <c r="B2" s="4" t="s">
        <v>626</v>
      </c>
      <c r="C2" s="7">
        <v>0</v>
      </c>
      <c r="D2" s="7">
        <v>1</v>
      </c>
      <c r="E2" s="17" t="s">
        <v>66</v>
      </c>
      <c r="F2" s="2" t="s">
        <v>67</v>
      </c>
      <c r="G2" s="2">
        <v>0</v>
      </c>
      <c r="H2" s="19">
        <v>1</v>
      </c>
      <c r="I2" s="3" t="s">
        <v>18</v>
      </c>
      <c r="J2" s="17" t="s">
        <v>68</v>
      </c>
      <c r="K2" s="17" t="s">
        <v>695</v>
      </c>
      <c r="L2" s="17" t="s">
        <v>437</v>
      </c>
      <c r="M2" s="4">
        <f t="shared" ref="M2:O3" si="0">IF($B2="N/A", "N/A", 1)</f>
        <v>1</v>
      </c>
      <c r="N2" s="4">
        <f t="shared" si="0"/>
        <v>1</v>
      </c>
      <c r="O2" s="4">
        <f t="shared" si="0"/>
        <v>1</v>
      </c>
    </row>
    <row r="3" spans="1:15" x14ac:dyDescent="0.35">
      <c r="A3" s="191"/>
      <c r="B3" s="4" t="s">
        <v>626</v>
      </c>
      <c r="C3" s="7">
        <v>1</v>
      </c>
      <c r="D3" s="7">
        <v>1</v>
      </c>
      <c r="E3" s="17" t="s">
        <v>69</v>
      </c>
      <c r="F3" s="2" t="s">
        <v>70</v>
      </c>
      <c r="G3" s="2">
        <v>0</v>
      </c>
      <c r="H3" s="19">
        <v>1</v>
      </c>
      <c r="I3" s="3" t="s">
        <v>18</v>
      </c>
      <c r="J3" s="17" t="s">
        <v>71</v>
      </c>
      <c r="K3" s="17" t="s">
        <v>696</v>
      </c>
      <c r="L3" s="17" t="s">
        <v>438</v>
      </c>
      <c r="M3" s="4">
        <f t="shared" si="0"/>
        <v>1</v>
      </c>
      <c r="N3" s="4">
        <f t="shared" si="0"/>
        <v>1</v>
      </c>
      <c r="O3" s="4">
        <f t="shared" si="0"/>
        <v>1</v>
      </c>
    </row>
    <row r="4" spans="1:15" x14ac:dyDescent="0.35">
      <c r="A4" s="191"/>
      <c r="B4" s="17" t="s">
        <v>72</v>
      </c>
      <c r="C4" s="7">
        <v>2</v>
      </c>
      <c r="D4" s="7">
        <v>1</v>
      </c>
      <c r="E4" s="17" t="s">
        <v>73</v>
      </c>
      <c r="F4" s="17" t="s">
        <v>74</v>
      </c>
      <c r="G4" s="17">
        <v>0</v>
      </c>
      <c r="H4" s="20">
        <v>0</v>
      </c>
      <c r="I4" s="3" t="s">
        <v>18</v>
      </c>
      <c r="J4" s="17" t="s">
        <v>68</v>
      </c>
      <c r="K4" s="17" t="s">
        <v>697</v>
      </c>
      <c r="L4" s="17" t="s">
        <v>439</v>
      </c>
      <c r="M4" s="3">
        <f ca="1">IF($B4="N/A","N/A",IF(0=VLOOKUP($B4,INDIRECT(Config!$B$1),HLOOKUP(M$1,INDIRECT(Config!$E$1),2,FALSE),FALSE),1,0))</f>
        <v>1</v>
      </c>
      <c r="N4" s="3">
        <f ca="1">IF($B4="N/A","N/A",IF(0=VLOOKUP($B4,INDIRECT(Config!$B$1),HLOOKUP(N$1,INDIRECT(Config!$E$1),2,FALSE),FALSE),1,0))</f>
        <v>0</v>
      </c>
      <c r="O4" s="3">
        <f ca="1">IF($B4="N/A","N/A",IF(0=VLOOKUP($B4,INDIRECT(Config!$B$1),HLOOKUP(O$1,INDIRECT(Config!$E$1),2,FALSE),FALSE),1,0))</f>
        <v>1</v>
      </c>
    </row>
    <row r="5" spans="1:15" x14ac:dyDescent="0.35">
      <c r="A5" s="191"/>
      <c r="B5" s="4" t="s">
        <v>626</v>
      </c>
      <c r="C5" s="7">
        <v>3</v>
      </c>
      <c r="D5" s="7">
        <v>1</v>
      </c>
      <c r="E5" s="17" t="s">
        <v>75</v>
      </c>
      <c r="F5" s="2" t="s">
        <v>76</v>
      </c>
      <c r="G5" s="2">
        <v>0</v>
      </c>
      <c r="H5" s="19">
        <v>0</v>
      </c>
      <c r="I5" s="3" t="s">
        <v>18</v>
      </c>
      <c r="J5" s="17" t="s">
        <v>68</v>
      </c>
      <c r="K5" s="17" t="s">
        <v>698</v>
      </c>
      <c r="L5" s="17" t="s">
        <v>440</v>
      </c>
      <c r="M5" s="4">
        <f>IF($B5="N/A", "N/A", 1)</f>
        <v>1</v>
      </c>
      <c r="N5" s="4">
        <f>IF($B5="N/A", "N/A", 1)</f>
        <v>1</v>
      </c>
      <c r="O5" s="4">
        <f>IF($B5="N/A", "N/A", 1)</f>
        <v>1</v>
      </c>
    </row>
    <row r="6" spans="1:15" x14ac:dyDescent="0.35">
      <c r="A6" s="191"/>
      <c r="B6" s="7" t="s">
        <v>77</v>
      </c>
      <c r="C6" s="7">
        <v>4</v>
      </c>
      <c r="D6" s="7">
        <v>1</v>
      </c>
      <c r="E6" s="7" t="s">
        <v>78</v>
      </c>
      <c r="F6" s="17" t="s">
        <v>79</v>
      </c>
      <c r="G6" s="17">
        <v>0</v>
      </c>
      <c r="H6" s="20">
        <v>0</v>
      </c>
      <c r="I6" s="3" t="s">
        <v>18</v>
      </c>
      <c r="J6" s="17" t="s">
        <v>80</v>
      </c>
      <c r="K6" s="17" t="s">
        <v>699</v>
      </c>
      <c r="L6" s="17" t="s">
        <v>441</v>
      </c>
      <c r="M6" s="3">
        <f ca="1">IF($B6="N/A", "N/A", VLOOKUP($B6, INDIRECT(Config!$B$1), HLOOKUP(M$1, INDIRECT(Config!$E$1), 2, FALSE),FALSE))</f>
        <v>1</v>
      </c>
      <c r="N6" s="3">
        <f ca="1">IF($B6="N/A", "N/A", VLOOKUP($B6, INDIRECT(Config!$B$1), HLOOKUP(N$1, INDIRECT(Config!$E$1), 2, FALSE),FALSE))</f>
        <v>0</v>
      </c>
      <c r="O6" s="3">
        <f ca="1">IF($B6="N/A", "N/A", VLOOKUP($B6, INDIRECT(Config!$B$1), HLOOKUP(O$1, INDIRECT(Config!$E$1), 2, FALSE),FALSE))</f>
        <v>0</v>
      </c>
    </row>
    <row r="7" spans="1:15" x14ac:dyDescent="0.35">
      <c r="A7" s="191"/>
      <c r="B7" s="7" t="s">
        <v>77</v>
      </c>
      <c r="C7" s="7">
        <v>5</v>
      </c>
      <c r="D7" s="7">
        <v>1</v>
      </c>
      <c r="E7" s="7" t="s">
        <v>81</v>
      </c>
      <c r="F7" s="17" t="s">
        <v>82</v>
      </c>
      <c r="G7" s="17">
        <v>0</v>
      </c>
      <c r="H7" s="20">
        <v>0</v>
      </c>
      <c r="I7" s="3" t="s">
        <v>18</v>
      </c>
      <c r="J7" s="17" t="s">
        <v>80</v>
      </c>
      <c r="K7" s="17" t="s">
        <v>700</v>
      </c>
      <c r="L7" s="17" t="s">
        <v>442</v>
      </c>
      <c r="M7" s="3">
        <f ca="1">IF($B7="N/A", "N/A", VLOOKUP($B7, INDIRECT(Config!$B$1), HLOOKUP(M$1, INDIRECT(Config!$E$1), 2, FALSE),FALSE))</f>
        <v>1</v>
      </c>
      <c r="N7" s="3">
        <f ca="1">IF($B7="N/A", "N/A", VLOOKUP($B7, INDIRECT(Config!$B$1), HLOOKUP(N$1, INDIRECT(Config!$E$1), 2, FALSE),FALSE))</f>
        <v>0</v>
      </c>
      <c r="O7" s="3">
        <f ca="1">IF($B7="N/A", "N/A", VLOOKUP($B7, INDIRECT(Config!$B$1), HLOOKUP(O$1, INDIRECT(Config!$E$1), 2, FALSE),FALSE))</f>
        <v>0</v>
      </c>
    </row>
    <row r="8" spans="1:15" x14ac:dyDescent="0.35">
      <c r="A8" s="191"/>
      <c r="B8" s="4" t="s">
        <v>626</v>
      </c>
      <c r="C8" s="7">
        <v>6</v>
      </c>
      <c r="D8" s="7">
        <v>1</v>
      </c>
      <c r="E8" s="17" t="s">
        <v>83</v>
      </c>
      <c r="F8" s="2" t="s">
        <v>84</v>
      </c>
      <c r="G8" s="2">
        <v>0</v>
      </c>
      <c r="H8" s="19">
        <v>0</v>
      </c>
      <c r="I8" s="3" t="s">
        <v>18</v>
      </c>
      <c r="J8" s="17" t="s">
        <v>68</v>
      </c>
      <c r="K8" s="17" t="s">
        <v>701</v>
      </c>
      <c r="L8" s="17" t="s">
        <v>443</v>
      </c>
      <c r="M8" s="4">
        <f t="shared" ref="M8:O10" si="1">IF($B8="N/A", "N/A", 1)</f>
        <v>1</v>
      </c>
      <c r="N8" s="4">
        <f t="shared" si="1"/>
        <v>1</v>
      </c>
      <c r="O8" s="4">
        <f t="shared" si="1"/>
        <v>1</v>
      </c>
    </row>
    <row r="9" spans="1:15" x14ac:dyDescent="0.35">
      <c r="A9" s="191"/>
      <c r="B9" s="4" t="s">
        <v>626</v>
      </c>
      <c r="C9" s="7">
        <v>7</v>
      </c>
      <c r="D9" s="7">
        <v>1</v>
      </c>
      <c r="E9" s="17" t="s">
        <v>85</v>
      </c>
      <c r="F9" s="2" t="s">
        <v>86</v>
      </c>
      <c r="G9" s="2">
        <v>1</v>
      </c>
      <c r="H9" s="19">
        <v>1</v>
      </c>
      <c r="I9" s="3" t="s">
        <v>18</v>
      </c>
      <c r="J9" s="17" t="s">
        <v>68</v>
      </c>
      <c r="K9" s="17" t="s">
        <v>702</v>
      </c>
      <c r="L9" s="17" t="s">
        <v>444</v>
      </c>
      <c r="M9" s="4">
        <f t="shared" si="1"/>
        <v>1</v>
      </c>
      <c r="N9" s="4">
        <f t="shared" si="1"/>
        <v>1</v>
      </c>
      <c r="O9" s="4">
        <f t="shared" si="1"/>
        <v>1</v>
      </c>
    </row>
    <row r="10" spans="1:15" x14ac:dyDescent="0.35">
      <c r="A10" s="191"/>
      <c r="B10" s="4" t="s">
        <v>626</v>
      </c>
      <c r="C10" s="7">
        <v>8</v>
      </c>
      <c r="D10" s="7">
        <v>1</v>
      </c>
      <c r="E10" s="17" t="s">
        <v>87</v>
      </c>
      <c r="F10" s="2" t="s">
        <v>88</v>
      </c>
      <c r="G10" s="2">
        <v>0</v>
      </c>
      <c r="H10" s="19">
        <v>0</v>
      </c>
      <c r="I10" s="3" t="s">
        <v>18</v>
      </c>
      <c r="J10" s="17" t="s">
        <v>89</v>
      </c>
      <c r="K10" s="17" t="s">
        <v>703</v>
      </c>
      <c r="L10" s="17" t="s">
        <v>445</v>
      </c>
      <c r="M10" s="4">
        <f t="shared" si="1"/>
        <v>1</v>
      </c>
      <c r="N10" s="4">
        <f t="shared" si="1"/>
        <v>1</v>
      </c>
      <c r="O10" s="4">
        <f t="shared" si="1"/>
        <v>1</v>
      </c>
    </row>
    <row r="11" spans="1:15" x14ac:dyDescent="0.35">
      <c r="A11" s="191"/>
      <c r="B11" s="2" t="s">
        <v>50</v>
      </c>
      <c r="C11" s="2">
        <v>9</v>
      </c>
      <c r="D11" s="2">
        <v>1</v>
      </c>
      <c r="E11" s="2"/>
      <c r="F11" s="7" t="s">
        <v>90</v>
      </c>
      <c r="G11" s="7">
        <v>0</v>
      </c>
      <c r="H11" s="21">
        <v>0</v>
      </c>
      <c r="I11" s="147" t="s">
        <v>18</v>
      </c>
      <c r="J11" s="7"/>
      <c r="K11" s="7" t="s">
        <v>809</v>
      </c>
      <c r="L11" s="7" t="s">
        <v>472</v>
      </c>
      <c r="M11" s="4" t="str">
        <f ca="1">IF($B11="N/A", "N/A", VLOOKUP($B11, INDIRECT(Config!$B$1), HLOOKUP(M$1, INDIRECT(Config!$E$1), 2, FALSE),FALSE))</f>
        <v>N/A</v>
      </c>
      <c r="N11" s="4" t="str">
        <f ca="1">IF($B11="N/A", "N/A", VLOOKUP($B11, INDIRECT(Config!$B$1), HLOOKUP(N$1, INDIRECT(Config!$E$1), 2, FALSE),FALSE))</f>
        <v>N/A</v>
      </c>
      <c r="O11" s="4" t="str">
        <f ca="1">IF($B11="N/A", "N/A", VLOOKUP($B11, INDIRECT(Config!$B$1), HLOOKUP(O$1, INDIRECT(Config!$E$1), 2, FALSE),FALSE))</f>
        <v>N/A</v>
      </c>
    </row>
    <row r="12" spans="1:15" x14ac:dyDescent="0.35">
      <c r="A12" s="191"/>
      <c r="B12" s="17" t="s">
        <v>660</v>
      </c>
      <c r="C12" s="7">
        <v>10</v>
      </c>
      <c r="D12" s="7">
        <v>1</v>
      </c>
      <c r="E12" s="17" t="s">
        <v>91</v>
      </c>
      <c r="F12" s="17" t="s">
        <v>92</v>
      </c>
      <c r="G12" s="17">
        <v>1</v>
      </c>
      <c r="H12" s="20">
        <v>0</v>
      </c>
      <c r="I12" s="147" t="s">
        <v>18</v>
      </c>
      <c r="J12" s="17" t="s">
        <v>89</v>
      </c>
      <c r="K12" s="17" t="s">
        <v>704</v>
      </c>
      <c r="L12" s="17" t="s">
        <v>446</v>
      </c>
      <c r="M12" s="3">
        <f ca="1">IF($B12="N/A", "N/A", VLOOKUP($B12, INDIRECT(Config!$B$1), HLOOKUP(M$1, INDIRECT(Config!$E$1), 2, FALSE),FALSE))</f>
        <v>1</v>
      </c>
      <c r="N12" s="3">
        <f ca="1">IF($B12="N/A", "N/A", VLOOKUP($B12, INDIRECT(Config!$B$1), HLOOKUP(N$1, INDIRECT(Config!$E$1), 2, FALSE),FALSE))</f>
        <v>0</v>
      </c>
      <c r="O12" s="3">
        <f ca="1">IF($B12="N/A", "N/A", VLOOKUP($B12, INDIRECT(Config!$B$1), HLOOKUP(O$1, INDIRECT(Config!$E$1), 2, FALSE),FALSE))</f>
        <v>0</v>
      </c>
    </row>
    <row r="13" spans="1:15" x14ac:dyDescent="0.35">
      <c r="A13" s="191"/>
      <c r="B13" s="17" t="s">
        <v>93</v>
      </c>
      <c r="C13" s="7">
        <v>11</v>
      </c>
      <c r="D13" s="7">
        <v>1</v>
      </c>
      <c r="E13" s="17" t="s">
        <v>94</v>
      </c>
      <c r="F13" s="17" t="s">
        <v>95</v>
      </c>
      <c r="G13" s="17">
        <v>0</v>
      </c>
      <c r="H13" s="20">
        <v>1</v>
      </c>
      <c r="I13" s="147" t="s">
        <v>18</v>
      </c>
      <c r="J13" s="17" t="s">
        <v>89</v>
      </c>
      <c r="K13" s="17" t="s">
        <v>705</v>
      </c>
      <c r="L13" s="17" t="s">
        <v>447</v>
      </c>
      <c r="M13" s="3">
        <f ca="1">IF($B13="N/A", "N/A", VLOOKUP($B13, INDIRECT(Config!$B$1), HLOOKUP(M$1, INDIRECT(Config!$E$1), 2, FALSE),FALSE))</f>
        <v>0</v>
      </c>
      <c r="N13" s="3">
        <f ca="1">IF($B13="N/A", "N/A", VLOOKUP($B13, INDIRECT(Config!$B$1), HLOOKUP(N$1, INDIRECT(Config!$E$1), 2, FALSE),FALSE))</f>
        <v>0</v>
      </c>
      <c r="O13" s="3">
        <f ca="1">IF($B13="N/A", "N/A", VLOOKUP($B13, INDIRECT(Config!$B$1), HLOOKUP(O$1, INDIRECT(Config!$E$1), 2, FALSE),FALSE))</f>
        <v>0</v>
      </c>
    </row>
    <row r="14" spans="1:15" x14ac:dyDescent="0.35">
      <c r="A14" s="191"/>
      <c r="B14" s="17" t="s">
        <v>662</v>
      </c>
      <c r="C14" s="7">
        <v>12</v>
      </c>
      <c r="D14" s="7">
        <v>1</v>
      </c>
      <c r="E14" s="17" t="s">
        <v>96</v>
      </c>
      <c r="F14" s="17" t="s">
        <v>97</v>
      </c>
      <c r="G14" s="17">
        <v>1</v>
      </c>
      <c r="H14" s="20">
        <v>1</v>
      </c>
      <c r="I14" s="147" t="s">
        <v>18</v>
      </c>
      <c r="J14" s="17" t="s">
        <v>89</v>
      </c>
      <c r="K14" s="17" t="s">
        <v>706</v>
      </c>
      <c r="L14" s="17" t="s">
        <v>448</v>
      </c>
      <c r="M14" s="3">
        <f ca="1">IF($B14="N/A", "N/A", VLOOKUP($B14, INDIRECT(Config!$B$1), HLOOKUP(M$1, INDIRECT(Config!$E$1), 2, FALSE),FALSE))</f>
        <v>1</v>
      </c>
      <c r="N14" s="3">
        <f ca="1">IF($B14="N/A", "N/A", VLOOKUP($B14, INDIRECT(Config!$B$1), HLOOKUP(N$1, INDIRECT(Config!$E$1), 2, FALSE),FALSE))</f>
        <v>0</v>
      </c>
      <c r="O14" s="3">
        <f ca="1">IF($B14="N/A", "N/A", VLOOKUP($B14, INDIRECT(Config!$B$1), HLOOKUP(O$1, INDIRECT(Config!$E$1), 2, FALSE),FALSE))</f>
        <v>0</v>
      </c>
    </row>
    <row r="15" spans="1:15" x14ac:dyDescent="0.35">
      <c r="A15" s="191"/>
      <c r="B15" s="17" t="s">
        <v>175</v>
      </c>
      <c r="C15" s="7">
        <v>13</v>
      </c>
      <c r="D15" s="7">
        <v>1</v>
      </c>
      <c r="E15" s="17" t="s">
        <v>98</v>
      </c>
      <c r="F15" s="17" t="s">
        <v>99</v>
      </c>
      <c r="G15" s="17">
        <v>0</v>
      </c>
      <c r="H15" s="20">
        <v>1</v>
      </c>
      <c r="I15" s="147" t="s">
        <v>18</v>
      </c>
      <c r="J15" s="17" t="s">
        <v>89</v>
      </c>
      <c r="K15" s="17" t="s">
        <v>707</v>
      </c>
      <c r="L15" s="17" t="s">
        <v>449</v>
      </c>
      <c r="M15" s="3">
        <f ca="1">IF($B15="N/A", "N/A", VLOOKUP($B15, INDIRECT(Config!$B$1), HLOOKUP(M$1, INDIRECT(Config!$E$1), 2, FALSE),FALSE))</f>
        <v>1</v>
      </c>
      <c r="N15" s="3">
        <f ca="1">IF($B15="N/A", "N/A", VLOOKUP($B15, INDIRECT(Config!$B$1), HLOOKUP(N$1, INDIRECT(Config!$E$1), 2, FALSE),FALSE))</f>
        <v>0</v>
      </c>
      <c r="O15" s="3">
        <f ca="1">IF($B15="N/A", "N/A", VLOOKUP($B15, INDIRECT(Config!$B$1), HLOOKUP(O$1, INDIRECT(Config!$E$1), 2, FALSE),FALSE))</f>
        <v>0</v>
      </c>
    </row>
    <row r="16" spans="1:15" x14ac:dyDescent="0.35">
      <c r="A16" s="191"/>
      <c r="B16" s="4" t="s">
        <v>626</v>
      </c>
      <c r="C16" s="7">
        <v>14</v>
      </c>
      <c r="D16" s="7">
        <v>1</v>
      </c>
      <c r="E16" s="17" t="s">
        <v>100</v>
      </c>
      <c r="F16" s="2" t="s">
        <v>101</v>
      </c>
      <c r="G16" s="2">
        <v>1</v>
      </c>
      <c r="H16" s="19">
        <v>0</v>
      </c>
      <c r="I16" s="147" t="s">
        <v>18</v>
      </c>
      <c r="J16" s="7" t="s">
        <v>71</v>
      </c>
      <c r="K16" s="7" t="s">
        <v>708</v>
      </c>
      <c r="L16" s="7" t="s">
        <v>450</v>
      </c>
      <c r="M16" s="4">
        <f>IF($B16="N/A", "N/A", 1)</f>
        <v>1</v>
      </c>
      <c r="N16" s="4">
        <f>IF($B16="N/A", "N/A", 1)</f>
        <v>1</v>
      </c>
      <c r="O16" s="4">
        <f>IF($B16="N/A", "N/A", 1)</f>
        <v>1</v>
      </c>
    </row>
    <row r="17" spans="1:15" x14ac:dyDescent="0.35">
      <c r="A17" s="191"/>
      <c r="B17" s="2" t="s">
        <v>102</v>
      </c>
      <c r="C17" s="2">
        <v>15</v>
      </c>
      <c r="D17" s="2">
        <v>1</v>
      </c>
      <c r="E17" s="2" t="s">
        <v>103</v>
      </c>
      <c r="F17" s="17" t="s">
        <v>104</v>
      </c>
      <c r="G17" s="17">
        <v>0</v>
      </c>
      <c r="H17" s="20">
        <v>0</v>
      </c>
      <c r="I17" s="147" t="s">
        <v>18</v>
      </c>
      <c r="J17" s="7" t="s">
        <v>68</v>
      </c>
      <c r="K17" s="7" t="s">
        <v>709</v>
      </c>
      <c r="L17" s="7" t="s">
        <v>451</v>
      </c>
      <c r="M17" s="3">
        <f ca="1">IF($B17="N/A", "N/A", VLOOKUP($B17, INDIRECT(Config!$B$1), HLOOKUP(M$1, INDIRECT(Config!$E$1), 2, FALSE),FALSE))</f>
        <v>0</v>
      </c>
      <c r="N17" s="3">
        <f ca="1">IF($B17="N/A", "N/A", VLOOKUP($B17, INDIRECT(Config!$B$1), HLOOKUP(N$1, INDIRECT(Config!$E$1), 2, FALSE),FALSE))</f>
        <v>0</v>
      </c>
      <c r="O17" s="3">
        <f ca="1">IF($B17="N/A", "N/A", VLOOKUP($B17, INDIRECT(Config!$B$1), HLOOKUP(O$1, INDIRECT(Config!$E$1), 2, FALSE),FALSE))</f>
        <v>0</v>
      </c>
    </row>
    <row r="18" spans="1:15" x14ac:dyDescent="0.35">
      <c r="A18" s="191"/>
      <c r="B18" s="4" t="s">
        <v>626</v>
      </c>
      <c r="C18" s="7">
        <v>16</v>
      </c>
      <c r="D18" s="7">
        <v>1</v>
      </c>
      <c r="E18" s="17" t="s">
        <v>105</v>
      </c>
      <c r="F18" s="2" t="s">
        <v>106</v>
      </c>
      <c r="G18" s="2">
        <v>1</v>
      </c>
      <c r="H18" s="19">
        <v>1</v>
      </c>
      <c r="I18" s="147" t="s">
        <v>684</v>
      </c>
      <c r="J18" s="7" t="s">
        <v>89</v>
      </c>
      <c r="K18" s="7" t="s">
        <v>710</v>
      </c>
      <c r="L18" s="7" t="s">
        <v>452</v>
      </c>
      <c r="M18" s="4">
        <f t="shared" ref="M18:O19" si="2">IF($B18="N/A", "N/A", 1)</f>
        <v>1</v>
      </c>
      <c r="N18" s="4">
        <f t="shared" si="2"/>
        <v>1</v>
      </c>
      <c r="O18" s="4">
        <f t="shared" si="2"/>
        <v>1</v>
      </c>
    </row>
    <row r="19" spans="1:15" x14ac:dyDescent="0.35">
      <c r="A19" s="191"/>
      <c r="B19" s="4" t="s">
        <v>626</v>
      </c>
      <c r="C19" s="7">
        <v>17</v>
      </c>
      <c r="D19" s="7">
        <v>1</v>
      </c>
      <c r="E19" s="17" t="s">
        <v>107</v>
      </c>
      <c r="F19" s="2" t="s">
        <v>108</v>
      </c>
      <c r="G19" s="2">
        <v>1</v>
      </c>
      <c r="H19" s="19">
        <v>1</v>
      </c>
      <c r="I19" s="147" t="s">
        <v>684</v>
      </c>
      <c r="J19" s="7" t="s">
        <v>89</v>
      </c>
      <c r="K19" s="7" t="s">
        <v>711</v>
      </c>
      <c r="L19" s="7" t="s">
        <v>453</v>
      </c>
      <c r="M19" s="4">
        <f t="shared" si="2"/>
        <v>1</v>
      </c>
      <c r="N19" s="4">
        <f t="shared" si="2"/>
        <v>1</v>
      </c>
      <c r="O19" s="4">
        <f t="shared" si="2"/>
        <v>1</v>
      </c>
    </row>
    <row r="20" spans="1:15" x14ac:dyDescent="0.35">
      <c r="A20" s="191"/>
      <c r="B20" s="2" t="s">
        <v>102</v>
      </c>
      <c r="C20" s="2">
        <v>18</v>
      </c>
      <c r="D20" s="2">
        <v>5</v>
      </c>
      <c r="E20" s="2" t="s">
        <v>109</v>
      </c>
      <c r="F20" s="17" t="s">
        <v>110</v>
      </c>
      <c r="G20" s="17">
        <v>0</v>
      </c>
      <c r="H20" s="20">
        <v>0</v>
      </c>
      <c r="I20" s="147" t="s">
        <v>684</v>
      </c>
      <c r="J20" s="7" t="s">
        <v>68</v>
      </c>
      <c r="K20" s="7" t="s">
        <v>712</v>
      </c>
      <c r="L20" s="7" t="s">
        <v>454</v>
      </c>
      <c r="M20" s="3">
        <f ca="1">IF($B20="N/A", "N/A", VLOOKUP($B20, INDIRECT(Config!$B$1), HLOOKUP(M$1, INDIRECT(Config!$E$1), 2, FALSE),FALSE))</f>
        <v>0</v>
      </c>
      <c r="N20" s="3">
        <f ca="1">IF($B20="N/A", "N/A", VLOOKUP($B20, INDIRECT(Config!$B$1), HLOOKUP(N$1, INDIRECT(Config!$E$1), 2, FALSE),FALSE))</f>
        <v>0</v>
      </c>
      <c r="O20" s="3">
        <f ca="1">IF($B20="N/A", "N/A", VLOOKUP($B20, INDIRECT(Config!$B$1), HLOOKUP(O$1, INDIRECT(Config!$E$1), 2, FALSE),FALSE))</f>
        <v>0</v>
      </c>
    </row>
    <row r="21" spans="1:15" x14ac:dyDescent="0.35">
      <c r="A21" s="191"/>
      <c r="B21" s="2" t="s">
        <v>111</v>
      </c>
      <c r="C21" s="2">
        <v>18</v>
      </c>
      <c r="D21" s="2">
        <v>1</v>
      </c>
      <c r="E21" s="2" t="s">
        <v>112</v>
      </c>
      <c r="F21" s="17" t="s">
        <v>113</v>
      </c>
      <c r="G21" s="17">
        <v>1</v>
      </c>
      <c r="H21" s="20">
        <v>0</v>
      </c>
      <c r="I21" s="147" t="s">
        <v>684</v>
      </c>
      <c r="J21" s="7" t="s">
        <v>89</v>
      </c>
      <c r="K21" s="7" t="s">
        <v>794</v>
      </c>
      <c r="L21" s="7" t="s">
        <v>534</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c r="O21" s="3">
        <f ca="1">IF(VLOOKUP("SAMSUNG_PUF_CONFIG_EN",  INDIRECT(Config!$B$1), HLOOKUP(O$1, INDIRECT(Config!$E$1), 2, FALSE),FALSE)=0, VLOOKUP("IFWI_LAYOUT_1_5_EN",  INDIRECT(Config!$B$1), HLOOKUP(O$1,  INDIRECT(Config!$E$1), 2, FALSE),FALSE), 0)</f>
        <v>0</v>
      </c>
    </row>
    <row r="22" spans="1:15" x14ac:dyDescent="0.35">
      <c r="A22" s="191"/>
      <c r="B22" s="2" t="s">
        <v>111</v>
      </c>
      <c r="C22" s="2">
        <v>19</v>
      </c>
      <c r="D22" s="2">
        <v>1</v>
      </c>
      <c r="E22" s="2" t="s">
        <v>114</v>
      </c>
      <c r="F22" s="17" t="s">
        <v>115</v>
      </c>
      <c r="G22" s="17">
        <v>1</v>
      </c>
      <c r="H22" s="20">
        <v>0</v>
      </c>
      <c r="I22" s="147" t="s">
        <v>684</v>
      </c>
      <c r="J22" s="7" t="s">
        <v>89</v>
      </c>
      <c r="K22" s="7" t="s">
        <v>795</v>
      </c>
      <c r="L22" s="7" t="s">
        <v>534</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c r="O22" s="3">
        <f ca="1">IF(VLOOKUP("SAMSUNG_PUF_CONFIG_EN",  INDIRECT(Config!$B$1), HLOOKUP(O$1, INDIRECT(Config!$E$1), 2, FALSE),FALSE)=0, VLOOKUP("IFWI_LAYOUT_1_5_EN",  INDIRECT(Config!$B$1), HLOOKUP(O$1,  INDIRECT(Config!$E$1), 2, FALSE),FALSE), 0)</f>
        <v>0</v>
      </c>
    </row>
    <row r="23" spans="1:15" x14ac:dyDescent="0.35">
      <c r="A23" s="191"/>
      <c r="B23" s="2" t="s">
        <v>111</v>
      </c>
      <c r="C23" s="2">
        <v>20</v>
      </c>
      <c r="D23" s="2">
        <v>1</v>
      </c>
      <c r="E23" s="2" t="s">
        <v>116</v>
      </c>
      <c r="F23" s="17" t="s">
        <v>117</v>
      </c>
      <c r="G23" s="17">
        <v>0</v>
      </c>
      <c r="H23" s="20">
        <v>0</v>
      </c>
      <c r="I23" s="147" t="s">
        <v>684</v>
      </c>
      <c r="J23" s="7" t="s">
        <v>89</v>
      </c>
      <c r="K23" s="7" t="s">
        <v>796</v>
      </c>
      <c r="L23" s="7" t="s">
        <v>534</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c r="O23" s="3">
        <f ca="1">IF(VLOOKUP("SAMSUNG_PUF_CONFIG_EN",  INDIRECT(Config!$B$1), HLOOKUP(O$1, INDIRECT(Config!$E$1), 2, FALSE),FALSE)=0, VLOOKUP("IFWI_LAYOUT_1_5_EN",  INDIRECT(Config!$B$1), HLOOKUP(O$1,  INDIRECT(Config!$E$1), 2, FALSE),FALSE), 0)</f>
        <v>0</v>
      </c>
    </row>
    <row r="24" spans="1:15" x14ac:dyDescent="0.35">
      <c r="A24" s="191"/>
      <c r="B24" s="2" t="s">
        <v>111</v>
      </c>
      <c r="C24" s="2">
        <v>21</v>
      </c>
      <c r="D24" s="2">
        <v>1</v>
      </c>
      <c r="E24" s="2" t="s">
        <v>118</v>
      </c>
      <c r="F24" s="17" t="s">
        <v>119</v>
      </c>
      <c r="G24" s="17">
        <v>0</v>
      </c>
      <c r="H24" s="20">
        <v>0</v>
      </c>
      <c r="I24" s="147" t="s">
        <v>684</v>
      </c>
      <c r="J24" s="7" t="s">
        <v>89</v>
      </c>
      <c r="K24" s="7" t="s">
        <v>797</v>
      </c>
      <c r="L24" s="7" t="s">
        <v>534</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c r="O24" s="3">
        <f ca="1">IF(VLOOKUP("SAMSUNG_PUF_CONFIG_EN",  INDIRECT(Config!$B$1), HLOOKUP(O$1, INDIRECT(Config!$E$1), 2, FALSE),FALSE)=0, VLOOKUP("IFWI_LAYOUT_1_5_EN",  INDIRECT(Config!$B$1), HLOOKUP(O$1,  INDIRECT(Config!$E$1), 2, FALSE),FALSE), 0)</f>
        <v>0</v>
      </c>
    </row>
    <row r="25" spans="1:15" x14ac:dyDescent="0.35">
      <c r="A25" s="191"/>
      <c r="B25" s="2" t="s">
        <v>111</v>
      </c>
      <c r="C25" s="2">
        <v>22</v>
      </c>
      <c r="D25" s="2">
        <v>1</v>
      </c>
      <c r="E25" s="2" t="s">
        <v>120</v>
      </c>
      <c r="F25" s="17" t="s">
        <v>121</v>
      </c>
      <c r="G25" s="17">
        <v>0</v>
      </c>
      <c r="H25" s="20">
        <v>0</v>
      </c>
      <c r="I25" s="147" t="s">
        <v>684</v>
      </c>
      <c r="J25" s="7" t="s">
        <v>89</v>
      </c>
      <c r="K25" s="7" t="s">
        <v>798</v>
      </c>
      <c r="L25" s="7" t="s">
        <v>534</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c r="O25" s="3">
        <f ca="1">IF(VLOOKUP("SAMSUNG_PUF_CONFIG_EN",  INDIRECT(Config!$B$1), HLOOKUP(O$1, INDIRECT(Config!$E$1), 2, FALSE),FALSE)=0, VLOOKUP("IFWI_LAYOUT_1_5_EN",  INDIRECT(Config!$B$1), HLOOKUP(O$1,  INDIRECT(Config!$E$1), 2, FALSE),FALSE), 0)</f>
        <v>0</v>
      </c>
    </row>
    <row r="26" spans="1:15" x14ac:dyDescent="0.35">
      <c r="A26" s="191"/>
      <c r="B26" s="7" t="s">
        <v>122</v>
      </c>
      <c r="C26" s="7">
        <v>23</v>
      </c>
      <c r="D26" s="7">
        <v>1</v>
      </c>
      <c r="E26" s="7" t="s">
        <v>123</v>
      </c>
      <c r="F26" s="17" t="s">
        <v>124</v>
      </c>
      <c r="G26" s="17">
        <v>0</v>
      </c>
      <c r="H26" s="20">
        <v>0</v>
      </c>
      <c r="I26" s="147" t="s">
        <v>684</v>
      </c>
      <c r="J26" s="7" t="s">
        <v>89</v>
      </c>
      <c r="K26" s="7" t="s">
        <v>799</v>
      </c>
      <c r="L26" s="7" t="s">
        <v>534</v>
      </c>
      <c r="M26" s="3">
        <f ca="1">IF($B26="N/A", "N/A", VLOOKUP($B26, INDIRECT(Config!$B$1), HLOOKUP(M$1, INDIRECT(Config!$E$1), 2, FALSE),FALSE))</f>
        <v>1</v>
      </c>
      <c r="N26" s="3">
        <f ca="1">IF($B26="N/A", "N/A", VLOOKUP($B26, INDIRECT(Config!$B$1), HLOOKUP(N$1, INDIRECT(Config!$E$1), 2, FALSE),FALSE))</f>
        <v>1</v>
      </c>
      <c r="O26" s="3">
        <f ca="1">IF($B26="N/A", "N/A", VLOOKUP($B26, INDIRECT(Config!$B$1), HLOOKUP(O$1, INDIRECT(Config!$E$1), 2, FALSE),FALSE))</f>
        <v>0</v>
      </c>
    </row>
    <row r="27" spans="1:15" x14ac:dyDescent="0.35">
      <c r="A27" s="191"/>
      <c r="B27" s="7" t="s">
        <v>125</v>
      </c>
      <c r="C27" s="7">
        <v>24</v>
      </c>
      <c r="D27" s="7">
        <v>1</v>
      </c>
      <c r="E27" s="7" t="s">
        <v>126</v>
      </c>
      <c r="F27" s="17" t="s">
        <v>127</v>
      </c>
      <c r="G27" s="17">
        <v>1</v>
      </c>
      <c r="H27" s="20">
        <v>0</v>
      </c>
      <c r="I27" s="147" t="s">
        <v>18</v>
      </c>
      <c r="J27" s="7" t="s">
        <v>89</v>
      </c>
      <c r="K27" s="7" t="s">
        <v>800</v>
      </c>
      <c r="L27" s="7" t="s">
        <v>534</v>
      </c>
      <c r="M27" s="3">
        <f ca="1">IF($B27="N/A", "N/A", VLOOKUP($B27, INDIRECT(Config!$B$1), HLOOKUP(M$1, INDIRECT(Config!$E$1), 2, FALSE),FALSE))</f>
        <v>1</v>
      </c>
      <c r="N27" s="3">
        <f ca="1">IF($B27="N/A", "N/A", VLOOKUP($B27, INDIRECT(Config!$B$1), HLOOKUP(N$1, INDIRECT(Config!$E$1), 2, FALSE),FALSE))</f>
        <v>1</v>
      </c>
      <c r="O27" s="3">
        <f ca="1">IF($B27="N/A", "N/A", VLOOKUP($B27, INDIRECT(Config!$B$1), HLOOKUP(O$1, INDIRECT(Config!$E$1), 2, FALSE),FALSE))</f>
        <v>0</v>
      </c>
    </row>
    <row r="28" spans="1:15" x14ac:dyDescent="0.35">
      <c r="A28" s="191"/>
      <c r="B28" s="17" t="s">
        <v>128</v>
      </c>
      <c r="C28" s="7">
        <v>25</v>
      </c>
      <c r="D28" s="7">
        <v>1</v>
      </c>
      <c r="E28" s="17" t="s">
        <v>129</v>
      </c>
      <c r="F28" s="17" t="s">
        <v>130</v>
      </c>
      <c r="G28" s="17">
        <v>1</v>
      </c>
      <c r="H28" s="20">
        <v>1</v>
      </c>
      <c r="I28" s="147" t="s">
        <v>18</v>
      </c>
      <c r="J28" s="7" t="s">
        <v>131</v>
      </c>
      <c r="K28" s="7" t="s">
        <v>713</v>
      </c>
      <c r="L28" s="7" t="s">
        <v>762</v>
      </c>
      <c r="M28" s="3">
        <f ca="1">IF($B28="N/A", "N/A", VLOOKUP($B28, INDIRECT(Config!$B$1), HLOOKUP(M$1, INDIRECT(Config!$E$1), 2, FALSE),FALSE))</f>
        <v>1</v>
      </c>
      <c r="N28" s="3">
        <f ca="1">IF($B28="N/A", "N/A", VLOOKUP($B28, INDIRECT(Config!$B$1), HLOOKUP(N$1, INDIRECT(Config!$E$1), 2, FALSE),FALSE))</f>
        <v>0</v>
      </c>
      <c r="O28" s="3">
        <f ca="1">IF($B28="N/A", "N/A", VLOOKUP($B28, INDIRECT(Config!$B$1), HLOOKUP(O$1, INDIRECT(Config!$E$1), 2, FALSE),FALSE))</f>
        <v>0</v>
      </c>
    </row>
    <row r="29" spans="1:15" x14ac:dyDescent="0.35">
      <c r="A29" s="191"/>
      <c r="B29" s="2" t="s">
        <v>102</v>
      </c>
      <c r="C29" s="2">
        <v>26</v>
      </c>
      <c r="D29" s="2">
        <v>3</v>
      </c>
      <c r="E29" s="2" t="s">
        <v>132</v>
      </c>
      <c r="F29" s="17" t="s">
        <v>133</v>
      </c>
      <c r="G29" s="17">
        <v>0</v>
      </c>
      <c r="H29" s="20">
        <v>0</v>
      </c>
      <c r="I29" s="147" t="s">
        <v>18</v>
      </c>
      <c r="J29" s="7" t="s">
        <v>68</v>
      </c>
      <c r="K29" s="7" t="s">
        <v>714</v>
      </c>
      <c r="L29" s="7" t="s">
        <v>763</v>
      </c>
      <c r="M29" s="3">
        <f ca="1">IF($B29="N/A", "N/A", VLOOKUP($B29, INDIRECT(Config!$B$1), HLOOKUP(M$1, INDIRECT(Config!$E$1), 2, FALSE),FALSE))</f>
        <v>0</v>
      </c>
      <c r="N29" s="3">
        <f ca="1">IF($B29="N/A", "N/A", VLOOKUP($B29, INDIRECT(Config!$B$1), HLOOKUP(N$1, INDIRECT(Config!$E$1), 2, FALSE),FALSE))</f>
        <v>0</v>
      </c>
      <c r="O29" s="3">
        <f ca="1">IF($B29="N/A", "N/A", VLOOKUP($B29, INDIRECT(Config!$B$1), HLOOKUP(O$1, INDIRECT(Config!$E$1), 2, FALSE),FALSE))</f>
        <v>0</v>
      </c>
    </row>
    <row r="30" spans="1:15" x14ac:dyDescent="0.35">
      <c r="A30" s="191"/>
      <c r="B30" s="2" t="s">
        <v>111</v>
      </c>
      <c r="C30" s="2">
        <v>26</v>
      </c>
      <c r="D30" s="2">
        <v>1</v>
      </c>
      <c r="E30" s="2" t="s">
        <v>134</v>
      </c>
      <c r="F30" s="17" t="s">
        <v>135</v>
      </c>
      <c r="G30" s="17">
        <v>0</v>
      </c>
      <c r="H30" s="20">
        <v>0</v>
      </c>
      <c r="I30" s="147" t="s">
        <v>18</v>
      </c>
      <c r="J30" s="7" t="s">
        <v>131</v>
      </c>
      <c r="K30" s="7" t="s">
        <v>801</v>
      </c>
      <c r="L30" s="7" t="s">
        <v>535</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c r="O30" s="7">
        <f ca="1">IF(VLOOKUP("SAMSUNG_PUF_CONFIG_EN",  INDIRECT(Config!$B$1), HLOOKUP(O$1, INDIRECT(Config!$E$1), 2, FALSE),FALSE)=0, VLOOKUP("IFWI_LAYOUT_1_5_EN",  INDIRECT(Config!$B$1), HLOOKUP(O$1,  INDIRECT(Config!$E$1), 2, FALSE),FALSE), 0)</f>
        <v>0</v>
      </c>
    </row>
    <row r="31" spans="1:15" s="16" customFormat="1" x14ac:dyDescent="0.35">
      <c r="A31" s="191"/>
      <c r="B31" s="2" t="s">
        <v>50</v>
      </c>
      <c r="C31" s="2">
        <v>27</v>
      </c>
      <c r="D31" s="2">
        <v>1</v>
      </c>
      <c r="E31" s="2"/>
      <c r="F31" s="7" t="s">
        <v>386</v>
      </c>
      <c r="G31" s="7">
        <v>0</v>
      </c>
      <c r="H31" s="21">
        <v>0</v>
      </c>
      <c r="I31" s="147" t="s">
        <v>18</v>
      </c>
      <c r="J31" s="7"/>
      <c r="K31" s="7" t="s">
        <v>802</v>
      </c>
      <c r="L31" s="7" t="s">
        <v>472</v>
      </c>
      <c r="M31" s="4" t="str">
        <f ca="1">IF($B31="N/A", "N/A", VLOOKUP($B31, INDIRECT(Config!$B$1), HLOOKUP(M$1, INDIRECT(Config!$E$1), 2, FALSE),FALSE))</f>
        <v>N/A</v>
      </c>
      <c r="N31" s="4" t="str">
        <f ca="1">IF($B31="N/A", "N/A", VLOOKUP($B31, INDIRECT(Config!$B$1), HLOOKUP(N$1, INDIRECT(Config!$E$1), 2, FALSE),FALSE))</f>
        <v>N/A</v>
      </c>
      <c r="O31" s="4" t="str">
        <f ca="1">IF($B31="N/A", "N/A", VLOOKUP($B31, INDIRECT(Config!$B$1), HLOOKUP(O$1, INDIRECT(Config!$E$1), 2, FALSE),FALSE))</f>
        <v>N/A</v>
      </c>
    </row>
    <row r="32" spans="1:15" x14ac:dyDescent="0.35">
      <c r="A32" s="191"/>
      <c r="B32" s="2" t="s">
        <v>389</v>
      </c>
      <c r="C32" s="2">
        <v>28</v>
      </c>
      <c r="D32" s="2">
        <v>1</v>
      </c>
      <c r="E32" s="2" t="s">
        <v>388</v>
      </c>
      <c r="F32" s="7" t="s">
        <v>387</v>
      </c>
      <c r="G32" s="7">
        <v>0</v>
      </c>
      <c r="H32" s="21">
        <v>0</v>
      </c>
      <c r="I32" s="147" t="s">
        <v>18</v>
      </c>
      <c r="J32" s="7" t="s">
        <v>131</v>
      </c>
      <c r="K32" s="7" t="s">
        <v>803</v>
      </c>
      <c r="L32" s="7" t="s">
        <v>538</v>
      </c>
      <c r="M32" s="3">
        <f ca="1">IF($B32="N/A", "N/A", VLOOKUP($B32, INDIRECT(Config!$B$1), HLOOKUP(M$1, INDIRECT(Config!$E$1), 2, FALSE),FALSE))</f>
        <v>0</v>
      </c>
      <c r="N32" s="3">
        <f ca="1">IF($B32="N/A", "N/A", VLOOKUP($B32, INDIRECT(Config!$B$1), HLOOKUP(N$1, INDIRECT(Config!$E$1), 2, FALSE),FALSE))</f>
        <v>0</v>
      </c>
      <c r="O32" s="3">
        <f ca="1">IF($B32="N/A", "N/A", VLOOKUP($B32, INDIRECT(Config!$B$1), HLOOKUP(O$1, INDIRECT(Config!$E$1), 2, FALSE),FALSE))</f>
        <v>0</v>
      </c>
    </row>
    <row r="33" spans="1:15" x14ac:dyDescent="0.35">
      <c r="A33" s="191"/>
      <c r="B33" s="3" t="s">
        <v>136</v>
      </c>
      <c r="C33" s="7">
        <v>29</v>
      </c>
      <c r="D33" s="7">
        <v>1</v>
      </c>
      <c r="E33" s="3" t="s">
        <v>137</v>
      </c>
      <c r="F33" s="17" t="s">
        <v>138</v>
      </c>
      <c r="G33" s="17">
        <v>1</v>
      </c>
      <c r="H33" s="20">
        <v>0</v>
      </c>
      <c r="I33" s="147" t="s">
        <v>18</v>
      </c>
      <c r="J33" s="7" t="s">
        <v>89</v>
      </c>
      <c r="K33" s="7" t="s">
        <v>804</v>
      </c>
      <c r="L33" s="7" t="s">
        <v>539</v>
      </c>
      <c r="M33" s="3">
        <f ca="1">IF($B33="N/A", "N/A", VLOOKUP($B33, INDIRECT(Config!$B$1), HLOOKUP(M$1, INDIRECT(Config!$E$1), 2, FALSE),FALSE))</f>
        <v>0</v>
      </c>
      <c r="N33" s="3">
        <f ca="1">IF($B33="N/A", "N/A", VLOOKUP($B33, INDIRECT(Config!$B$1), HLOOKUP(N$1, INDIRECT(Config!$E$1), 2, FALSE),FALSE))</f>
        <v>0</v>
      </c>
      <c r="O33" s="3">
        <f ca="1">IF($B33="N/A", "N/A", VLOOKUP($B33, INDIRECT(Config!$B$1), HLOOKUP(O$1, INDIRECT(Config!$E$1), 2, FALSE),FALSE))</f>
        <v>0</v>
      </c>
    </row>
    <row r="34" spans="1:15" x14ac:dyDescent="0.35">
      <c r="A34" s="191"/>
      <c r="B34" s="17" t="s">
        <v>128</v>
      </c>
      <c r="C34" s="7">
        <v>30</v>
      </c>
      <c r="D34" s="7">
        <v>1</v>
      </c>
      <c r="E34" s="7" t="s">
        <v>139</v>
      </c>
      <c r="F34" s="17" t="s">
        <v>140</v>
      </c>
      <c r="G34" s="17">
        <v>1</v>
      </c>
      <c r="H34" s="20">
        <v>0</v>
      </c>
      <c r="I34" s="147" t="s">
        <v>18</v>
      </c>
      <c r="J34" s="7" t="s">
        <v>131</v>
      </c>
      <c r="K34" s="7" t="s">
        <v>805</v>
      </c>
      <c r="L34" s="7" t="s">
        <v>535</v>
      </c>
      <c r="M34" s="3">
        <f ca="1">IF($B34="N/A", "N/A", VLOOKUP($B34, INDIRECT(Config!$B$1), HLOOKUP(M$1, INDIRECT(Config!$E$1), 2, FALSE),FALSE))</f>
        <v>1</v>
      </c>
      <c r="N34" s="3">
        <f ca="1">IF($B34="N/A", "N/A", VLOOKUP($B34, INDIRECT(Config!$B$1), HLOOKUP(N$1, INDIRECT(Config!$E$1), 2, FALSE),FALSE))</f>
        <v>0</v>
      </c>
      <c r="O34" s="3">
        <f ca="1">IF($B34="N/A", "N/A", VLOOKUP($B34, INDIRECT(Config!$B$1), HLOOKUP(O$1, INDIRECT(Config!$E$1), 2, FALSE),FALSE))</f>
        <v>0</v>
      </c>
    </row>
    <row r="35" spans="1:15" x14ac:dyDescent="0.35">
      <c r="A35" s="191"/>
      <c r="B35" s="4" t="s">
        <v>626</v>
      </c>
      <c r="C35" s="7">
        <v>31</v>
      </c>
      <c r="D35" s="7">
        <v>1</v>
      </c>
      <c r="E35" s="17" t="s">
        <v>141</v>
      </c>
      <c r="F35" s="2" t="s">
        <v>142</v>
      </c>
      <c r="G35" s="2">
        <v>0</v>
      </c>
      <c r="H35" s="19">
        <v>0</v>
      </c>
      <c r="I35" s="147" t="s">
        <v>18</v>
      </c>
      <c r="J35" s="7" t="s">
        <v>143</v>
      </c>
      <c r="K35" s="7" t="s">
        <v>715</v>
      </c>
      <c r="L35" s="7" t="s">
        <v>764</v>
      </c>
      <c r="M35" s="4">
        <f>IF($B35="N/A", "N/A", 1)</f>
        <v>1</v>
      </c>
      <c r="N35" s="4">
        <f>IF($B35="N/A", "N/A", 1)</f>
        <v>1</v>
      </c>
      <c r="O35" s="4">
        <f>IF($B35="N/A", "N/A", 1)</f>
        <v>1</v>
      </c>
    </row>
    <row r="36" spans="1:15" x14ac:dyDescent="0.35">
      <c r="A36" s="166" t="s">
        <v>144</v>
      </c>
      <c r="B36" s="17" t="s">
        <v>653</v>
      </c>
      <c r="C36" s="7">
        <v>0</v>
      </c>
      <c r="D36" s="7">
        <v>1</v>
      </c>
      <c r="E36" s="17" t="s">
        <v>145</v>
      </c>
      <c r="F36" s="17" t="s">
        <v>146</v>
      </c>
      <c r="G36" s="17">
        <v>0</v>
      </c>
      <c r="H36" s="20">
        <v>1</v>
      </c>
      <c r="I36" s="3"/>
      <c r="J36" s="7" t="s">
        <v>89</v>
      </c>
      <c r="K36" s="7" t="s">
        <v>716</v>
      </c>
      <c r="L36" s="7" t="s">
        <v>535</v>
      </c>
      <c r="M36" s="3">
        <f ca="1">IF($B36="N/A", "N/A", VLOOKUP($B36, INDIRECT(Config!$B$1), HLOOKUP(M$1, INDIRECT(Config!$E$1), 2, FALSE),FALSE))</f>
        <v>0</v>
      </c>
      <c r="N36" s="3">
        <f ca="1">IF($B36="N/A", "N/A", VLOOKUP($B36, INDIRECT(Config!$B$1), HLOOKUP(N$1, INDIRECT(Config!$E$1), 2, FALSE),FALSE))</f>
        <v>0</v>
      </c>
      <c r="O36" s="3">
        <f ca="1">IF($B36="N/A", "N/A", VLOOKUP($B36, INDIRECT(Config!$B$1), HLOOKUP(O$1, INDIRECT(Config!$E$1), 2, FALSE),FALSE))</f>
        <v>0</v>
      </c>
    </row>
    <row r="37" spans="1:15" x14ac:dyDescent="0.35">
      <c r="A37" s="166"/>
      <c r="B37" s="17" t="s">
        <v>147</v>
      </c>
      <c r="C37" s="7">
        <v>1</v>
      </c>
      <c r="D37" s="7">
        <v>1</v>
      </c>
      <c r="E37" s="17" t="s">
        <v>148</v>
      </c>
      <c r="F37" s="17" t="s">
        <v>149</v>
      </c>
      <c r="G37" s="17">
        <v>0</v>
      </c>
      <c r="H37" s="20">
        <v>0</v>
      </c>
      <c r="I37" s="3"/>
      <c r="J37" s="7" t="s">
        <v>89</v>
      </c>
      <c r="K37" s="7" t="s">
        <v>717</v>
      </c>
      <c r="L37" s="7" t="s">
        <v>455</v>
      </c>
      <c r="M37" s="3">
        <f ca="1">IF($B37="N/A", "N/A", VLOOKUP($B37, INDIRECT(Config!$B$1), HLOOKUP(M$1, INDIRECT(Config!$E$1), 2, FALSE),FALSE))</f>
        <v>1</v>
      </c>
      <c r="N37" s="3">
        <f ca="1">IF($B37="N/A", "N/A", VLOOKUP($B37, INDIRECT(Config!$B$1), HLOOKUP(N$1, INDIRECT(Config!$E$1), 2, FALSE),FALSE))</f>
        <v>0</v>
      </c>
      <c r="O37" s="3">
        <f ca="1">IF($B37="N/A", "N/A", VLOOKUP($B37, INDIRECT(Config!$B$1), HLOOKUP(O$1, INDIRECT(Config!$E$1), 2, FALSE),FALSE))</f>
        <v>0</v>
      </c>
    </row>
    <row r="38" spans="1:15" x14ac:dyDescent="0.35">
      <c r="A38" s="166"/>
      <c r="B38" s="17" t="s">
        <v>150</v>
      </c>
      <c r="C38" s="7">
        <v>2</v>
      </c>
      <c r="D38" s="7">
        <v>1</v>
      </c>
      <c r="E38" s="17" t="s">
        <v>151</v>
      </c>
      <c r="F38" s="17" t="s">
        <v>152</v>
      </c>
      <c r="G38" s="17">
        <v>1</v>
      </c>
      <c r="H38" s="20">
        <v>0</v>
      </c>
      <c r="I38" s="3"/>
      <c r="J38" s="7" t="s">
        <v>89</v>
      </c>
      <c r="K38" s="7" t="s">
        <v>718</v>
      </c>
      <c r="L38" s="7" t="s">
        <v>456</v>
      </c>
      <c r="M38" s="3">
        <f ca="1">IF($B38="N/A", "N/A", VLOOKUP($B38, INDIRECT(Config!$B$1), HLOOKUP(M$1, INDIRECT(Config!$E$1), 2, FALSE),FALSE))</f>
        <v>1</v>
      </c>
      <c r="N38" s="3">
        <f ca="1">IF($B38="N/A", "N/A", VLOOKUP($B38, INDIRECT(Config!$B$1), HLOOKUP(N$1, INDIRECT(Config!$E$1), 2, FALSE),FALSE))</f>
        <v>0</v>
      </c>
      <c r="O38" s="3">
        <f ca="1">IF($B38="N/A", "N/A", VLOOKUP($B38, INDIRECT(Config!$B$1), HLOOKUP(O$1, INDIRECT(Config!$E$1), 2, FALSE),FALSE))</f>
        <v>0</v>
      </c>
    </row>
    <row r="39" spans="1:15" ht="14.5" customHeight="1" x14ac:dyDescent="0.35">
      <c r="A39" s="166"/>
      <c r="B39" s="4" t="s">
        <v>626</v>
      </c>
      <c r="C39" s="7">
        <v>3</v>
      </c>
      <c r="D39" s="7">
        <v>1</v>
      </c>
      <c r="E39" s="17" t="s">
        <v>153</v>
      </c>
      <c r="F39" s="2" t="s">
        <v>154</v>
      </c>
      <c r="G39" s="2">
        <v>0</v>
      </c>
      <c r="H39" s="19">
        <v>0</v>
      </c>
      <c r="I39" s="3"/>
      <c r="J39" s="7" t="s">
        <v>155</v>
      </c>
      <c r="K39" s="158" t="s">
        <v>847</v>
      </c>
      <c r="L39" s="7" t="s">
        <v>534</v>
      </c>
      <c r="M39" s="4">
        <f>IF($B39="N/A", "N/A", 1)</f>
        <v>1</v>
      </c>
      <c r="N39" s="4">
        <f>IF($B39="N/A", "N/A", 1)</f>
        <v>1</v>
      </c>
      <c r="O39" s="4">
        <f>IF($B39="N/A", "N/A", 1)</f>
        <v>1</v>
      </c>
    </row>
    <row r="40" spans="1:15" x14ac:dyDescent="0.35">
      <c r="A40" s="166"/>
      <c r="B40" s="17" t="s">
        <v>656</v>
      </c>
      <c r="C40" s="7">
        <v>4</v>
      </c>
      <c r="D40" s="7">
        <v>1</v>
      </c>
      <c r="E40" s="17" t="s">
        <v>156</v>
      </c>
      <c r="F40" s="17" t="s">
        <v>157</v>
      </c>
      <c r="G40" s="17">
        <v>1</v>
      </c>
      <c r="H40" s="20">
        <v>1</v>
      </c>
      <c r="I40" s="3"/>
      <c r="J40" s="7" t="s">
        <v>89</v>
      </c>
      <c r="K40" s="7" t="s">
        <v>720</v>
      </c>
      <c r="L40" s="7" t="s">
        <v>765</v>
      </c>
      <c r="M40" s="3">
        <f ca="1">IF($B40="N/A", "N/A", VLOOKUP($B40, INDIRECT(Config!$B$1), HLOOKUP(M$1, INDIRECT(Config!$E$1), 2, FALSE),FALSE))</f>
        <v>1</v>
      </c>
      <c r="N40" s="3">
        <f ca="1">IF($B40="N/A", "N/A", VLOOKUP($B40, INDIRECT(Config!$B$1), HLOOKUP(N$1, INDIRECT(Config!$E$1), 2, FALSE),FALSE))</f>
        <v>0</v>
      </c>
      <c r="O40" s="3">
        <f ca="1">IF($B40="N/A", "N/A", VLOOKUP($B40, INDIRECT(Config!$B$1), HLOOKUP(O$1, INDIRECT(Config!$E$1), 2, FALSE),FALSE))</f>
        <v>0</v>
      </c>
    </row>
    <row r="41" spans="1:15" x14ac:dyDescent="0.35">
      <c r="A41" s="166"/>
      <c r="B41" s="2" t="s">
        <v>649</v>
      </c>
      <c r="C41" s="2">
        <v>5</v>
      </c>
      <c r="D41" s="2">
        <v>1</v>
      </c>
      <c r="E41" s="2" t="s">
        <v>158</v>
      </c>
      <c r="F41" s="17" t="s">
        <v>159</v>
      </c>
      <c r="G41" s="17">
        <v>1</v>
      </c>
      <c r="H41" s="20">
        <v>0</v>
      </c>
      <c r="I41" s="3"/>
      <c r="J41" s="7" t="s">
        <v>89</v>
      </c>
      <c r="K41" s="7" t="s">
        <v>806</v>
      </c>
      <c r="L41" s="7" t="s">
        <v>534</v>
      </c>
      <c r="M41" s="3">
        <f ca="1">IF($B41="N/A", "N/A", VLOOKUP($B41, INDIRECT(Config!$B$1), HLOOKUP(M$1, INDIRECT(Config!$E$1), 2, FALSE),FALSE))</f>
        <v>0</v>
      </c>
      <c r="N41" s="3">
        <f ca="1">IF($B41="N/A", "N/A", VLOOKUP($B41, INDIRECT(Config!$B$1), HLOOKUP(N$1, INDIRECT(Config!$E$1), 2, FALSE),FALSE))</f>
        <v>0</v>
      </c>
      <c r="O41" s="3">
        <f ca="1">IF($B41="N/A", "N/A", VLOOKUP($B41, INDIRECT(Config!$B$1), HLOOKUP(O$1, INDIRECT(Config!$E$1), 2, FALSE),FALSE))</f>
        <v>0</v>
      </c>
    </row>
    <row r="42" spans="1:15" x14ac:dyDescent="0.35">
      <c r="A42" s="166"/>
      <c r="B42" s="4" t="s">
        <v>626</v>
      </c>
      <c r="C42" s="7">
        <v>6</v>
      </c>
      <c r="D42" s="7">
        <v>1</v>
      </c>
      <c r="E42" s="17" t="s">
        <v>160</v>
      </c>
      <c r="F42" s="2" t="s">
        <v>161</v>
      </c>
      <c r="G42" s="2">
        <v>0</v>
      </c>
      <c r="H42" s="19">
        <v>0</v>
      </c>
      <c r="I42" s="3"/>
      <c r="J42" s="7" t="s">
        <v>89</v>
      </c>
      <c r="K42" s="7" t="s">
        <v>721</v>
      </c>
      <c r="L42" s="7" t="s">
        <v>766</v>
      </c>
      <c r="M42" s="4">
        <f>IF($B42="N/A", "N/A", 1)</f>
        <v>1</v>
      </c>
      <c r="N42" s="4">
        <f>IF($B42="N/A", "N/A", 1)</f>
        <v>1</v>
      </c>
      <c r="O42" s="4">
        <f>IF($B42="N/A", "N/A", 1)</f>
        <v>1</v>
      </c>
    </row>
    <row r="43" spans="1:15" x14ac:dyDescent="0.35">
      <c r="A43" s="166"/>
      <c r="B43" s="17" t="s">
        <v>658</v>
      </c>
      <c r="C43" s="7">
        <v>7</v>
      </c>
      <c r="D43" s="7">
        <v>1</v>
      </c>
      <c r="E43" s="17" t="s">
        <v>162</v>
      </c>
      <c r="F43" s="17" t="s">
        <v>163</v>
      </c>
      <c r="G43" s="17">
        <v>0</v>
      </c>
      <c r="H43" s="20">
        <v>1</v>
      </c>
      <c r="I43" s="3"/>
      <c r="J43" s="7" t="s">
        <v>89</v>
      </c>
      <c r="K43" s="7" t="s">
        <v>722</v>
      </c>
      <c r="L43" s="7" t="s">
        <v>767</v>
      </c>
      <c r="M43" s="3">
        <f ca="1">IF($B43="N/A", "N/A", VLOOKUP($B43, INDIRECT(Config!$B$1), HLOOKUP(M$1, INDIRECT(Config!$E$1), 2, FALSE),FALSE))</f>
        <v>1</v>
      </c>
      <c r="N43" s="3">
        <f ca="1">IF($B43="N/A", "N/A", VLOOKUP($B43, INDIRECT(Config!$B$1), HLOOKUP(N$1, INDIRECT(Config!$E$1), 2, FALSE),FALSE))</f>
        <v>0</v>
      </c>
      <c r="O43" s="3">
        <f ca="1">IF($B43="N/A", "N/A", VLOOKUP($B43, INDIRECT(Config!$B$1), HLOOKUP(O$1, INDIRECT(Config!$E$1), 2, FALSE),FALSE))</f>
        <v>1</v>
      </c>
    </row>
    <row r="44" spans="1:15" x14ac:dyDescent="0.35">
      <c r="A44" s="166"/>
      <c r="B44" s="2" t="s">
        <v>654</v>
      </c>
      <c r="C44" s="2">
        <v>8</v>
      </c>
      <c r="D44" s="2">
        <v>1</v>
      </c>
      <c r="E44" s="2" t="s">
        <v>164</v>
      </c>
      <c r="F44" s="17" t="s">
        <v>165</v>
      </c>
      <c r="G44" s="17">
        <v>0</v>
      </c>
      <c r="H44" s="20">
        <v>0</v>
      </c>
      <c r="I44" s="3"/>
      <c r="J44" s="7" t="s">
        <v>89</v>
      </c>
      <c r="K44" s="7" t="s">
        <v>723</v>
      </c>
      <c r="L44" s="7" t="s">
        <v>534</v>
      </c>
      <c r="M44" s="3">
        <f ca="1">IF($B44="N/A", "N/A", VLOOKUP($B44, INDIRECT(Config!$B$1), HLOOKUP(M$1, INDIRECT(Config!$E$1), 2, FALSE),FALSE))</f>
        <v>1</v>
      </c>
      <c r="N44" s="3">
        <f ca="1">IF($B44="N/A", "N/A", VLOOKUP($B44, INDIRECT(Config!$B$1), HLOOKUP(N$1, INDIRECT(Config!$E$1), 2, FALSE),FALSE))</f>
        <v>0</v>
      </c>
      <c r="O44" s="3">
        <f ca="1">IF($B44="N/A", "N/A", VLOOKUP($B44, INDIRECT(Config!$B$1), HLOOKUP(O$1, INDIRECT(Config!$E$1), 2, FALSE),FALSE))</f>
        <v>0</v>
      </c>
    </row>
    <row r="45" spans="1:15" x14ac:dyDescent="0.35">
      <c r="A45" s="166"/>
      <c r="B45" s="4" t="s">
        <v>626</v>
      </c>
      <c r="C45" s="7">
        <v>9</v>
      </c>
      <c r="D45" s="7">
        <v>3</v>
      </c>
      <c r="E45" s="17" t="s">
        <v>166</v>
      </c>
      <c r="F45" s="2" t="s">
        <v>167</v>
      </c>
      <c r="G45" s="2">
        <v>4</v>
      </c>
      <c r="H45" s="19">
        <v>0</v>
      </c>
      <c r="I45" s="3"/>
      <c r="J45" s="7" t="s">
        <v>131</v>
      </c>
      <c r="K45" s="7" t="s">
        <v>724</v>
      </c>
      <c r="L45" s="7" t="s">
        <v>768</v>
      </c>
      <c r="M45" s="4">
        <f>IF($B45="N/A", "N/A", 1)</f>
        <v>1</v>
      </c>
      <c r="N45" s="4">
        <f>IF($B45="N/A", "N/A", 1)</f>
        <v>1</v>
      </c>
      <c r="O45" s="4">
        <f>IF($B45="N/A", "N/A", 1)</f>
        <v>1</v>
      </c>
    </row>
    <row r="46" spans="1:15" x14ac:dyDescent="0.35">
      <c r="A46" s="166"/>
      <c r="B46" s="2" t="s">
        <v>655</v>
      </c>
      <c r="C46" s="2">
        <v>12</v>
      </c>
      <c r="D46" s="2">
        <v>1</v>
      </c>
      <c r="E46" s="2" t="s">
        <v>168</v>
      </c>
      <c r="F46" s="17" t="s">
        <v>169</v>
      </c>
      <c r="G46" s="17">
        <v>0</v>
      </c>
      <c r="H46" s="20">
        <v>0</v>
      </c>
      <c r="I46" s="3"/>
      <c r="J46" s="7" t="s">
        <v>89</v>
      </c>
      <c r="K46" s="7" t="s">
        <v>725</v>
      </c>
      <c r="L46" s="7" t="s">
        <v>535</v>
      </c>
      <c r="M46" s="3">
        <f ca="1">IF($B46="N/A", "N/A", VLOOKUP($B46, INDIRECT(Config!$B$1), HLOOKUP(M$1, INDIRECT(Config!$E$1), 2, FALSE),FALSE))</f>
        <v>0</v>
      </c>
      <c r="N46" s="3">
        <f ca="1">IF($B46="N/A", "N/A", VLOOKUP($B46, INDIRECT(Config!$B$1), HLOOKUP(N$1, INDIRECT(Config!$E$1), 2, FALSE),FALSE))</f>
        <v>0</v>
      </c>
      <c r="O46" s="3">
        <f ca="1">IF($B46="N/A", "N/A", VLOOKUP($B46, INDIRECT(Config!$B$1), HLOOKUP(O$1, INDIRECT(Config!$E$1), 2, FALSE),FALSE))</f>
        <v>0</v>
      </c>
    </row>
    <row r="47" spans="1:15" x14ac:dyDescent="0.35">
      <c r="A47" s="166"/>
      <c r="B47" s="17" t="s">
        <v>664</v>
      </c>
      <c r="C47" s="7">
        <v>13</v>
      </c>
      <c r="D47" s="7">
        <v>1</v>
      </c>
      <c r="E47" s="17" t="s">
        <v>170</v>
      </c>
      <c r="F47" s="17" t="s">
        <v>171</v>
      </c>
      <c r="G47" s="17">
        <v>0</v>
      </c>
      <c r="H47" s="20">
        <v>1</v>
      </c>
      <c r="I47" s="3"/>
      <c r="J47" s="7" t="s">
        <v>131</v>
      </c>
      <c r="K47" s="7" t="s">
        <v>726</v>
      </c>
      <c r="L47" s="7" t="s">
        <v>535</v>
      </c>
      <c r="M47" s="3">
        <f ca="1">IF($B47="N/A", "N/A", VLOOKUP($B47, INDIRECT(Config!$B$1), HLOOKUP(M$1, INDIRECT(Config!$E$1), 2, FALSE),FALSE))</f>
        <v>1</v>
      </c>
      <c r="N47" s="3">
        <f ca="1">IF($B47="N/A", "N/A", VLOOKUP($B47, INDIRECT(Config!$B$1), HLOOKUP(N$1, INDIRECT(Config!$E$1), 2, FALSE),FALSE))</f>
        <v>0</v>
      </c>
      <c r="O47" s="3">
        <f ca="1">IF($B47="N/A", "N/A", VLOOKUP($B47, INDIRECT(Config!$B$1), HLOOKUP(O$1, INDIRECT(Config!$E$1), 2, FALSE),FALSE))</f>
        <v>1</v>
      </c>
    </row>
    <row r="48" spans="1:15" x14ac:dyDescent="0.35">
      <c r="A48" s="166"/>
      <c r="B48" s="2" t="s">
        <v>652</v>
      </c>
      <c r="C48" s="2">
        <v>14</v>
      </c>
      <c r="D48" s="2">
        <v>1</v>
      </c>
      <c r="E48" s="2" t="s">
        <v>172</v>
      </c>
      <c r="F48" s="17" t="s">
        <v>173</v>
      </c>
      <c r="G48" s="17">
        <v>1</v>
      </c>
      <c r="H48" s="20">
        <v>0</v>
      </c>
      <c r="I48" s="3"/>
      <c r="J48" s="7" t="s">
        <v>89</v>
      </c>
      <c r="K48" s="7" t="s">
        <v>727</v>
      </c>
      <c r="L48" s="7" t="s">
        <v>535</v>
      </c>
      <c r="M48" s="3">
        <f ca="1">IF($B48="N/A", "N/A", VLOOKUP($B48, INDIRECT(Config!$B$1), HLOOKUP(M$1, INDIRECT(Config!$E$1), 2, FALSE),FALSE))</f>
        <v>0</v>
      </c>
      <c r="N48" s="3">
        <f ca="1">IF($B48="N/A", "N/A", VLOOKUP($B48, INDIRECT(Config!$B$1), HLOOKUP(N$1, INDIRECT(Config!$E$1), 2, FALSE),FALSE))</f>
        <v>0</v>
      </c>
      <c r="O48" s="3">
        <f ca="1">IF($B48="N/A", "N/A", VLOOKUP($B48, INDIRECT(Config!$B$1), HLOOKUP(O$1, INDIRECT(Config!$E$1), 2, FALSE),FALSE))</f>
        <v>0</v>
      </c>
    </row>
    <row r="49" spans="1:15" x14ac:dyDescent="0.35">
      <c r="A49" s="166"/>
      <c r="B49" s="17" t="s">
        <v>650</v>
      </c>
      <c r="C49" s="7">
        <v>15</v>
      </c>
      <c r="D49" s="7">
        <v>1</v>
      </c>
      <c r="E49" s="17" t="s">
        <v>691</v>
      </c>
      <c r="F49" s="17" t="s">
        <v>174</v>
      </c>
      <c r="G49" s="17">
        <v>0</v>
      </c>
      <c r="H49" s="20">
        <v>1</v>
      </c>
      <c r="I49" s="3"/>
      <c r="J49" s="7" t="s">
        <v>131</v>
      </c>
      <c r="K49" s="7" t="s">
        <v>728</v>
      </c>
      <c r="L49" s="7" t="s">
        <v>535</v>
      </c>
      <c r="M49" s="3">
        <f ca="1">IF($B49="N/A", "N/A", VLOOKUP($B49, INDIRECT(Config!$B$1), HLOOKUP(M$1, INDIRECT(Config!$E$1), 2, FALSE),FALSE))</f>
        <v>1</v>
      </c>
      <c r="N49" s="3">
        <f ca="1">IF($B49="N/A", "N/A", VLOOKUP($B49, INDIRECT(Config!$B$1), HLOOKUP(N$1, INDIRECT(Config!$E$1), 2, FALSE),FALSE))</f>
        <v>0</v>
      </c>
      <c r="O49" s="3">
        <f ca="1">IF($B49="N/A", "N/A", VLOOKUP($B49, INDIRECT(Config!$B$1), HLOOKUP(O$1, INDIRECT(Config!$E$1), 2, FALSE),FALSE))</f>
        <v>1</v>
      </c>
    </row>
    <row r="50" spans="1:15" x14ac:dyDescent="0.35">
      <c r="A50" s="166"/>
      <c r="B50" s="17" t="s">
        <v>175</v>
      </c>
      <c r="C50" s="7">
        <v>16</v>
      </c>
      <c r="D50" s="7">
        <v>1</v>
      </c>
      <c r="E50" s="17" t="s">
        <v>176</v>
      </c>
      <c r="F50" s="17" t="s">
        <v>177</v>
      </c>
      <c r="G50" s="17">
        <v>1</v>
      </c>
      <c r="H50" s="20">
        <v>1</v>
      </c>
      <c r="I50" s="3"/>
      <c r="J50" s="7" t="s">
        <v>178</v>
      </c>
      <c r="K50" s="7" t="s">
        <v>729</v>
      </c>
      <c r="L50" s="7" t="s">
        <v>457</v>
      </c>
      <c r="M50" s="3">
        <f ca="1">IF($B50="N/A", "N/A", VLOOKUP($B50, INDIRECT(Config!$B$1), HLOOKUP(M$1, INDIRECT(Config!$E$1), 2, FALSE),FALSE))</f>
        <v>1</v>
      </c>
      <c r="N50" s="3">
        <f ca="1">IF($B50="N/A", "N/A", VLOOKUP($B50, INDIRECT(Config!$B$1), HLOOKUP(N$1, INDIRECT(Config!$E$1), 2, FALSE),FALSE))</f>
        <v>0</v>
      </c>
      <c r="O50" s="3">
        <f ca="1">IF($B50="N/A", "N/A", VLOOKUP($B50, INDIRECT(Config!$B$1), HLOOKUP(O$1, INDIRECT(Config!$E$1), 2, FALSE),FALSE))</f>
        <v>0</v>
      </c>
    </row>
    <row r="51" spans="1:15" x14ac:dyDescent="0.35">
      <c r="A51" s="166"/>
      <c r="B51" s="17" t="s">
        <v>175</v>
      </c>
      <c r="C51" s="7">
        <v>17</v>
      </c>
      <c r="D51" s="7">
        <v>1</v>
      </c>
      <c r="E51" s="17" t="s">
        <v>179</v>
      </c>
      <c r="F51" s="17" t="s">
        <v>180</v>
      </c>
      <c r="G51" s="17">
        <v>0</v>
      </c>
      <c r="H51" s="20">
        <v>0</v>
      </c>
      <c r="I51" s="3"/>
      <c r="J51" s="7" t="s">
        <v>178</v>
      </c>
      <c r="K51" s="7" t="s">
        <v>730</v>
      </c>
      <c r="L51" s="7" t="s">
        <v>458</v>
      </c>
      <c r="M51" s="3">
        <f ca="1">IF($B51="N/A", "N/A", VLOOKUP($B51, INDIRECT(Config!$B$1), HLOOKUP(M$1, INDIRECT(Config!$E$1), 2, FALSE),FALSE))</f>
        <v>1</v>
      </c>
      <c r="N51" s="3">
        <f ca="1">IF($B51="N/A", "N/A", VLOOKUP($B51, INDIRECT(Config!$B$1), HLOOKUP(N$1, INDIRECT(Config!$E$1), 2, FALSE),FALSE))</f>
        <v>0</v>
      </c>
      <c r="O51" s="3">
        <f ca="1">IF($B51="N/A", "N/A", VLOOKUP($B51, INDIRECT(Config!$B$1), HLOOKUP(O$1, INDIRECT(Config!$E$1), 2, FALSE),FALSE))</f>
        <v>0</v>
      </c>
    </row>
    <row r="52" spans="1:15" x14ac:dyDescent="0.35">
      <c r="A52" s="166"/>
      <c r="B52" s="17" t="s">
        <v>175</v>
      </c>
      <c r="C52" s="7">
        <v>18</v>
      </c>
      <c r="D52" s="7">
        <v>1</v>
      </c>
      <c r="E52" s="17" t="s">
        <v>181</v>
      </c>
      <c r="F52" s="17" t="s">
        <v>182</v>
      </c>
      <c r="G52" s="17">
        <v>0</v>
      </c>
      <c r="H52" s="20">
        <v>0</v>
      </c>
      <c r="I52" s="3"/>
      <c r="J52" s="7" t="s">
        <v>178</v>
      </c>
      <c r="K52" s="7" t="s">
        <v>731</v>
      </c>
      <c r="L52" s="7" t="s">
        <v>459</v>
      </c>
      <c r="M52" s="3">
        <f ca="1">IF($B52="N/A", "N/A", VLOOKUP($B52, INDIRECT(Config!$B$1), HLOOKUP(M$1, INDIRECT(Config!$E$1), 2, FALSE),FALSE))</f>
        <v>1</v>
      </c>
      <c r="N52" s="3">
        <f ca="1">IF($B52="N/A", "N/A", VLOOKUP($B52, INDIRECT(Config!$B$1), HLOOKUP(N$1, INDIRECT(Config!$E$1), 2, FALSE),FALSE))</f>
        <v>0</v>
      </c>
      <c r="O52" s="3">
        <f ca="1">IF($B52="N/A", "N/A", VLOOKUP($B52, INDIRECT(Config!$B$1), HLOOKUP(O$1, INDIRECT(Config!$E$1), 2, FALSE),FALSE))</f>
        <v>0</v>
      </c>
    </row>
    <row r="53" spans="1:15" x14ac:dyDescent="0.35">
      <c r="A53" s="166"/>
      <c r="B53" s="17" t="s">
        <v>651</v>
      </c>
      <c r="C53" s="7">
        <v>19</v>
      </c>
      <c r="D53" s="7">
        <v>1</v>
      </c>
      <c r="E53" s="17" t="s">
        <v>183</v>
      </c>
      <c r="F53" s="17" t="s">
        <v>184</v>
      </c>
      <c r="G53" s="17">
        <v>0</v>
      </c>
      <c r="H53" s="20">
        <v>1</v>
      </c>
      <c r="I53" s="3"/>
      <c r="J53" s="7" t="s">
        <v>89</v>
      </c>
      <c r="K53" s="7" t="s">
        <v>732</v>
      </c>
      <c r="L53" s="7" t="s">
        <v>536</v>
      </c>
      <c r="M53" s="3">
        <f ca="1">IF($B53="N/A", "N/A", VLOOKUP($B53, INDIRECT(Config!$B$1), HLOOKUP(M$1, INDIRECT(Config!$E$1), 2, FALSE),FALSE))</f>
        <v>1</v>
      </c>
      <c r="N53" s="3">
        <f ca="1">IF($B53="N/A", "N/A", VLOOKUP($B53, INDIRECT(Config!$B$1), HLOOKUP(N$1, INDIRECT(Config!$E$1), 2, FALSE),FALSE))</f>
        <v>0</v>
      </c>
      <c r="O53" s="3">
        <f ca="1">IF($B53="N/A", "N/A", VLOOKUP($B53, INDIRECT(Config!$B$1), HLOOKUP(O$1, INDIRECT(Config!$E$1), 2, FALSE),FALSE))</f>
        <v>0</v>
      </c>
    </row>
    <row r="54" spans="1:15" x14ac:dyDescent="0.35">
      <c r="A54" s="166"/>
      <c r="B54" s="17" t="s">
        <v>648</v>
      </c>
      <c r="C54" s="7">
        <v>20</v>
      </c>
      <c r="D54" s="7">
        <v>1</v>
      </c>
      <c r="E54" s="17" t="s">
        <v>185</v>
      </c>
      <c r="F54" s="17" t="s">
        <v>186</v>
      </c>
      <c r="G54" s="17">
        <v>0</v>
      </c>
      <c r="H54" s="20">
        <v>1</v>
      </c>
      <c r="I54" s="3"/>
      <c r="J54" s="7" t="s">
        <v>89</v>
      </c>
      <c r="K54" s="7" t="s">
        <v>733</v>
      </c>
      <c r="L54" s="7" t="s">
        <v>537</v>
      </c>
      <c r="M54" s="3">
        <f ca="1">IF($B54="N/A", "N/A", VLOOKUP($B54, INDIRECT(Config!$B$1), HLOOKUP(M$1, INDIRECT(Config!$E$1), 2, FALSE),FALSE))</f>
        <v>1</v>
      </c>
      <c r="N54" s="3">
        <f ca="1">IF($B54="N/A", "N/A", VLOOKUP($B54, INDIRECT(Config!$B$1), HLOOKUP(N$1, INDIRECT(Config!$E$1), 2, FALSE),FALSE))</f>
        <v>0</v>
      </c>
      <c r="O54" s="3">
        <f ca="1">IF($B54="N/A", "N/A", VLOOKUP($B54, INDIRECT(Config!$B$1), HLOOKUP(O$1, INDIRECT(Config!$E$1), 2, FALSE),FALSE))</f>
        <v>0</v>
      </c>
    </row>
    <row r="55" spans="1:15" x14ac:dyDescent="0.35">
      <c r="A55" s="166"/>
      <c r="B55" s="17" t="s">
        <v>657</v>
      </c>
      <c r="C55" s="7">
        <v>21</v>
      </c>
      <c r="D55" s="7">
        <v>1</v>
      </c>
      <c r="E55" s="17" t="s">
        <v>187</v>
      </c>
      <c r="F55" s="17" t="s">
        <v>188</v>
      </c>
      <c r="G55" s="17">
        <v>0</v>
      </c>
      <c r="H55" s="20">
        <v>1</v>
      </c>
      <c r="I55" s="3"/>
      <c r="J55" s="7" t="s">
        <v>89</v>
      </c>
      <c r="K55" s="7" t="s">
        <v>734</v>
      </c>
      <c r="L55" s="7" t="s">
        <v>460</v>
      </c>
      <c r="M55" s="3">
        <f ca="1">IF($B55="N/A", "N/A", VLOOKUP($B55, INDIRECT(Config!$B$1), HLOOKUP(M$1, INDIRECT(Config!$E$1), 2, FALSE),FALSE))</f>
        <v>1</v>
      </c>
      <c r="N55" s="3">
        <f ca="1">IF($B55="N/A", "N/A", VLOOKUP($B55, INDIRECT(Config!$B$1), HLOOKUP(N$1, INDIRECT(Config!$E$1), 2, FALSE),FALSE))</f>
        <v>0</v>
      </c>
      <c r="O55" s="3">
        <f ca="1">IF($B55="N/A", "N/A", VLOOKUP($B55, INDIRECT(Config!$B$1), HLOOKUP(O$1, INDIRECT(Config!$E$1), 2, FALSE),FALSE))</f>
        <v>0</v>
      </c>
    </row>
    <row r="56" spans="1:15" x14ac:dyDescent="0.35">
      <c r="A56" s="166"/>
      <c r="B56" s="17" t="s">
        <v>189</v>
      </c>
      <c r="C56" s="7">
        <v>22</v>
      </c>
      <c r="D56" s="7">
        <v>2</v>
      </c>
      <c r="E56" s="17" t="s">
        <v>190</v>
      </c>
      <c r="F56" s="17" t="s">
        <v>191</v>
      </c>
      <c r="G56" s="17">
        <v>2</v>
      </c>
      <c r="H56" s="20">
        <v>1</v>
      </c>
      <c r="I56" s="3"/>
      <c r="J56" s="7" t="s">
        <v>89</v>
      </c>
      <c r="K56" s="7" t="s">
        <v>735</v>
      </c>
      <c r="L56" s="7" t="s">
        <v>461</v>
      </c>
      <c r="M56" s="3">
        <f ca="1">IF($B56="N/A", "N/A", VLOOKUP($B56, INDIRECT(Config!$B$1), HLOOKUP(M$1, INDIRECT(Config!$E$1), 2, FALSE),FALSE))</f>
        <v>1</v>
      </c>
      <c r="N56" s="3">
        <f ca="1">IF($B56="N/A", "N/A", VLOOKUP($B56, INDIRECT(Config!$B$1), HLOOKUP(N$1, INDIRECT(Config!$E$1), 2, FALSE),FALSE))</f>
        <v>0</v>
      </c>
      <c r="O56" s="3">
        <f ca="1">IF($B56="N/A", "N/A", VLOOKUP($B56, INDIRECT(Config!$B$1), HLOOKUP(O$1, INDIRECT(Config!$E$1), 2, FALSE),FALSE))</f>
        <v>0</v>
      </c>
    </row>
    <row r="57" spans="1:15" x14ac:dyDescent="0.35">
      <c r="A57" s="166"/>
      <c r="B57" s="4" t="s">
        <v>626</v>
      </c>
      <c r="C57" s="7">
        <v>24</v>
      </c>
      <c r="D57" s="7">
        <v>8</v>
      </c>
      <c r="E57" s="17" t="s">
        <v>192</v>
      </c>
      <c r="F57" s="2" t="s">
        <v>193</v>
      </c>
      <c r="G57" s="2">
        <v>0</v>
      </c>
      <c r="H57" s="19">
        <v>1</v>
      </c>
      <c r="I57" s="3" t="s">
        <v>18</v>
      </c>
      <c r="J57" s="7" t="s">
        <v>89</v>
      </c>
      <c r="K57" s="7" t="s">
        <v>736</v>
      </c>
      <c r="L57" s="7" t="s">
        <v>462</v>
      </c>
      <c r="M57" s="4">
        <f>IF($B57="N/A", "N/A", 1)</f>
        <v>1</v>
      </c>
      <c r="N57" s="4">
        <f>IF($B57="N/A", "N/A", 1)</f>
        <v>1</v>
      </c>
      <c r="O57" s="4">
        <f>IF($B57="N/A", "N/A", 1)</f>
        <v>1</v>
      </c>
    </row>
    <row r="58" spans="1:15" x14ac:dyDescent="0.35">
      <c r="A58" s="166" t="s">
        <v>194</v>
      </c>
      <c r="B58" s="17" t="s">
        <v>406</v>
      </c>
      <c r="C58" s="7">
        <v>0</v>
      </c>
      <c r="D58" s="7">
        <v>15</v>
      </c>
      <c r="E58" s="17" t="s">
        <v>195</v>
      </c>
      <c r="F58" s="2" t="s">
        <v>196</v>
      </c>
      <c r="G58" s="2">
        <v>0</v>
      </c>
      <c r="H58" s="19">
        <v>0</v>
      </c>
      <c r="I58" s="147" t="s">
        <v>18</v>
      </c>
      <c r="J58" s="7" t="s">
        <v>89</v>
      </c>
      <c r="K58" s="7" t="s">
        <v>737</v>
      </c>
      <c r="L58" s="7" t="s">
        <v>463</v>
      </c>
      <c r="M58" s="3">
        <f ca="1">IF($B58="N/A", "N/A", VLOOKUP($B58, INDIRECT(Config!$B$1), HLOOKUP(M$1, INDIRECT(Config!$E$1), 2, FALSE),FALSE))</f>
        <v>13</v>
      </c>
      <c r="N58" s="3">
        <f ca="1">IF($B58="N/A", "N/A", VLOOKUP($B58, INDIRECT(Config!$B$1), HLOOKUP(N$1, INDIRECT(Config!$E$1), 2, FALSE),FALSE))</f>
        <v>5</v>
      </c>
      <c r="O58" s="3">
        <f ca="1">IF($B58="N/A", "N/A", VLOOKUP($B58, INDIRECT(Config!$B$1), HLOOKUP(O$1, INDIRECT(Config!$E$1), 2, FALSE),FALSE))</f>
        <v>5</v>
      </c>
    </row>
    <row r="59" spans="1:15" x14ac:dyDescent="0.35">
      <c r="A59" s="166"/>
      <c r="B59" s="17" t="s">
        <v>659</v>
      </c>
      <c r="C59" s="7">
        <v>15</v>
      </c>
      <c r="D59" s="7">
        <v>1</v>
      </c>
      <c r="E59" s="17" t="s">
        <v>197</v>
      </c>
      <c r="F59" s="17" t="s">
        <v>198</v>
      </c>
      <c r="G59" s="17">
        <v>0</v>
      </c>
      <c r="H59" s="20">
        <v>0</v>
      </c>
      <c r="I59" s="147" t="s">
        <v>18</v>
      </c>
      <c r="J59" s="7" t="s">
        <v>89</v>
      </c>
      <c r="K59" s="7" t="s">
        <v>738</v>
      </c>
      <c r="L59" s="7" t="s">
        <v>464</v>
      </c>
      <c r="M59" s="3">
        <f ca="1">IF($B59="N/A", "N/A", VLOOKUP($B59, INDIRECT(Config!$B$1), HLOOKUP(M$1, INDIRECT(Config!$E$1), 2, FALSE),FALSE))</f>
        <v>1</v>
      </c>
      <c r="N59" s="3">
        <f ca="1">IF($B59="N/A", "N/A", VLOOKUP($B59, INDIRECT(Config!$B$1), HLOOKUP(N$1, INDIRECT(Config!$E$1), 2, FALSE),FALSE))</f>
        <v>0</v>
      </c>
      <c r="O59" s="3">
        <f ca="1">IF($B59="N/A", "N/A", VLOOKUP($B59, INDIRECT(Config!$B$1), HLOOKUP(O$1, INDIRECT(Config!$E$1), 2, FALSE),FALSE))</f>
        <v>0</v>
      </c>
    </row>
    <row r="60" spans="1:15" x14ac:dyDescent="0.35">
      <c r="A60" s="166"/>
      <c r="B60" s="17" t="s">
        <v>663</v>
      </c>
      <c r="C60" s="7">
        <v>16</v>
      </c>
      <c r="D60" s="7">
        <v>1</v>
      </c>
      <c r="E60" s="17" t="s">
        <v>199</v>
      </c>
      <c r="F60" s="17" t="s">
        <v>200</v>
      </c>
      <c r="G60" s="17">
        <v>0</v>
      </c>
      <c r="H60" s="20">
        <v>0</v>
      </c>
      <c r="I60" s="3"/>
      <c r="J60" s="7" t="s">
        <v>89</v>
      </c>
      <c r="K60" s="7" t="s">
        <v>739</v>
      </c>
      <c r="L60" s="7" t="s">
        <v>465</v>
      </c>
      <c r="M60" s="3">
        <f ca="1">IF($B60="N/A", "N/A", VLOOKUP($B60, INDIRECT(Config!$B$1), HLOOKUP(M$1, INDIRECT(Config!$E$1), 2, FALSE),FALSE))</f>
        <v>1</v>
      </c>
      <c r="N60" s="3">
        <f ca="1">IF($B60="N/A", "N/A", VLOOKUP($B60, INDIRECT(Config!$B$1), HLOOKUP(N$1, INDIRECT(Config!$E$1), 2, FALSE),FALSE))</f>
        <v>0</v>
      </c>
      <c r="O60" s="3">
        <f ca="1">IF($B60="N/A", "N/A", VLOOKUP($B60, INDIRECT(Config!$B$1), HLOOKUP(O$1, INDIRECT(Config!$E$1), 2, FALSE),FALSE))</f>
        <v>0</v>
      </c>
    </row>
    <row r="61" spans="1:15" x14ac:dyDescent="0.35">
      <c r="A61" s="166"/>
      <c r="B61" s="7" t="s">
        <v>549</v>
      </c>
      <c r="C61" s="7">
        <v>17</v>
      </c>
      <c r="D61" s="7">
        <v>1</v>
      </c>
      <c r="E61" s="215" t="s">
        <v>244</v>
      </c>
      <c r="F61" s="7" t="s">
        <v>201</v>
      </c>
      <c r="G61" s="7">
        <v>0</v>
      </c>
      <c r="H61" s="21">
        <v>0</v>
      </c>
      <c r="I61" s="7"/>
      <c r="J61" s="7" t="s">
        <v>89</v>
      </c>
      <c r="K61" s="7" t="s">
        <v>850</v>
      </c>
      <c r="L61" s="7" t="s">
        <v>557</v>
      </c>
      <c r="M61" s="3">
        <f ca="1">IF($B61="N/A", "N/A", VLOOKUP($B61, INDIRECT(Config!$B$1), HLOOKUP(M$1, INDIRECT(Config!$E$1), 2, FALSE),FALSE))</f>
        <v>0</v>
      </c>
      <c r="N61" s="3">
        <f ca="1">IF($B61="N/A", "N/A", VLOOKUP($B61, INDIRECT(Config!$B$1), HLOOKUP(N$1, INDIRECT(Config!$E$1), 2, FALSE),FALSE))</f>
        <v>0</v>
      </c>
      <c r="O61" s="3">
        <f ca="1">IF($B61="N/A", "N/A", VLOOKUP($B61, INDIRECT(Config!$B$1), HLOOKUP(O$1, INDIRECT(Config!$E$1), 2, FALSE),FALSE))</f>
        <v>1</v>
      </c>
    </row>
    <row r="62" spans="1:15" x14ac:dyDescent="0.35">
      <c r="A62" s="166"/>
      <c r="B62" s="4" t="s">
        <v>626</v>
      </c>
      <c r="C62" s="7">
        <v>18</v>
      </c>
      <c r="D62" s="7">
        <v>3</v>
      </c>
      <c r="E62" s="17" t="s">
        <v>202</v>
      </c>
      <c r="F62" s="2" t="s">
        <v>203</v>
      </c>
      <c r="G62" s="2">
        <v>0</v>
      </c>
      <c r="H62" s="19">
        <v>1</v>
      </c>
      <c r="I62" s="3"/>
      <c r="J62" s="7" t="s">
        <v>89</v>
      </c>
      <c r="K62" s="7" t="s">
        <v>741</v>
      </c>
      <c r="L62" s="7" t="s">
        <v>466</v>
      </c>
      <c r="M62" s="4">
        <f>IF($B62="N/A", "N/A", 1)</f>
        <v>1</v>
      </c>
      <c r="N62" s="4">
        <f>IF($B62="N/A", "N/A", 1)</f>
        <v>1</v>
      </c>
      <c r="O62" s="4">
        <f>IF($B62="N/A", "N/A", 1)</f>
        <v>1</v>
      </c>
    </row>
    <row r="63" spans="1:15" x14ac:dyDescent="0.35">
      <c r="A63" s="166"/>
      <c r="B63" s="2" t="s">
        <v>50</v>
      </c>
      <c r="C63" s="2">
        <v>21</v>
      </c>
      <c r="D63" s="2">
        <v>3</v>
      </c>
      <c r="E63" s="2"/>
      <c r="F63" s="7" t="s">
        <v>204</v>
      </c>
      <c r="G63" s="7">
        <v>0</v>
      </c>
      <c r="H63" s="21">
        <v>0</v>
      </c>
      <c r="I63" s="3"/>
      <c r="J63" s="7"/>
      <c r="K63" s="7" t="s">
        <v>810</v>
      </c>
      <c r="L63" s="7" t="s">
        <v>472</v>
      </c>
      <c r="M63" s="4" t="str">
        <f ca="1">IF($B63="N/A", "N/A", VLOOKUP($B63, INDIRECT(Config!$B$1), HLOOKUP(M$1, INDIRECT(Config!$E$1), 2, FALSE),FALSE))</f>
        <v>N/A</v>
      </c>
      <c r="N63" s="4" t="str">
        <f ca="1">IF($B63="N/A", "N/A", VLOOKUP($B63, INDIRECT(Config!$B$1), HLOOKUP(N$1, INDIRECT(Config!$E$1), 2, FALSE),FALSE))</f>
        <v>N/A</v>
      </c>
      <c r="O63" s="4" t="str">
        <f ca="1">IF($B63="N/A", "N/A", VLOOKUP($B63, INDIRECT(Config!$B$1), HLOOKUP(O$1, INDIRECT(Config!$E$1), 2, FALSE),FALSE))</f>
        <v>N/A</v>
      </c>
    </row>
    <row r="64" spans="1:15" x14ac:dyDescent="0.35">
      <c r="A64" s="166"/>
      <c r="B64" s="4" t="s">
        <v>626</v>
      </c>
      <c r="C64" s="7">
        <v>24</v>
      </c>
      <c r="D64" s="7">
        <v>4</v>
      </c>
      <c r="E64" s="17" t="s">
        <v>205</v>
      </c>
      <c r="F64" s="2" t="s">
        <v>206</v>
      </c>
      <c r="G64" s="2">
        <v>0</v>
      </c>
      <c r="H64" s="19">
        <v>0</v>
      </c>
      <c r="I64" s="3"/>
      <c r="J64" s="7" t="s">
        <v>89</v>
      </c>
      <c r="K64" s="7" t="s">
        <v>745</v>
      </c>
      <c r="L64" s="7" t="s">
        <v>466</v>
      </c>
      <c r="M64" s="4">
        <f t="shared" ref="M64:O65" si="3">IF($B64="N/A", "N/A", 1)</f>
        <v>1</v>
      </c>
      <c r="N64" s="4">
        <f t="shared" si="3"/>
        <v>1</v>
      </c>
      <c r="O64" s="4">
        <f t="shared" si="3"/>
        <v>1</v>
      </c>
    </row>
    <row r="65" spans="1:15" x14ac:dyDescent="0.35">
      <c r="A65" s="166"/>
      <c r="B65" s="4" t="s">
        <v>626</v>
      </c>
      <c r="C65" s="7">
        <v>28</v>
      </c>
      <c r="D65" s="7">
        <v>4</v>
      </c>
      <c r="E65" s="17" t="s">
        <v>207</v>
      </c>
      <c r="F65" s="2" t="s">
        <v>208</v>
      </c>
      <c r="G65" s="2">
        <v>0</v>
      </c>
      <c r="H65" s="19">
        <v>0</v>
      </c>
      <c r="I65" s="3"/>
      <c r="J65" s="7" t="s">
        <v>89</v>
      </c>
      <c r="K65" s="7" t="s">
        <v>746</v>
      </c>
      <c r="L65" s="7" t="s">
        <v>466</v>
      </c>
      <c r="M65" s="4">
        <f t="shared" si="3"/>
        <v>1</v>
      </c>
      <c r="N65" s="4">
        <f t="shared" si="3"/>
        <v>1</v>
      </c>
      <c r="O65" s="4">
        <f t="shared" si="3"/>
        <v>1</v>
      </c>
    </row>
    <row r="66" spans="1:15" x14ac:dyDescent="0.35">
      <c r="A66" s="166" t="s">
        <v>34</v>
      </c>
      <c r="B66" s="17" t="s">
        <v>687</v>
      </c>
      <c r="C66" s="7">
        <v>0</v>
      </c>
      <c r="D66" s="7">
        <v>1</v>
      </c>
      <c r="E66" s="17" t="s">
        <v>210</v>
      </c>
      <c r="F66" s="17" t="s">
        <v>211</v>
      </c>
      <c r="G66" s="17">
        <v>0</v>
      </c>
      <c r="H66" s="20">
        <v>1</v>
      </c>
      <c r="I66" s="147" t="s">
        <v>18</v>
      </c>
      <c r="J66" s="7" t="s">
        <v>68</v>
      </c>
      <c r="K66" s="7" t="s">
        <v>747</v>
      </c>
      <c r="L66" s="7" t="s">
        <v>467</v>
      </c>
      <c r="M66" s="3">
        <f ca="1">IF($B66="N/A","N/A",IF(VLOOKUP("PARAM_REPAIR_FUSE_SUPPORT_EN",INDIRECT(Config!$B$1),HLOOKUP(M$1,INDIRECT(Config!$E$1),2,FALSE),FALSE)=1,VLOOKUP("ROM_INT_FUSE_PULL",INDIRECT(Config!$B$1),HLOOKUP(M$1,INDIRECT(Config!$E$1),2,FALSE),FALSE),0))</f>
        <v>0</v>
      </c>
      <c r="N66" s="3">
        <f ca="1">IF($B66="N/A","N/A",IF(VLOOKUP("PARAM_REPAIR_FUSE_SUPPORT_EN",INDIRECT(Config!$B$1),HLOOKUP(N$1,INDIRECT(Config!$E$1),2,FALSE),FALSE)=1,VLOOKUP("ROM_INT_FUSE_PULL",INDIRECT(Config!$B$1),HLOOKUP(N$1,INDIRECT(Config!$E$1),2,FALSE),FALSE),0))</f>
        <v>0</v>
      </c>
      <c r="O66" s="3">
        <f ca="1">IF($B66="N/A","N/A",IF(VLOOKUP("PARAM_REPAIR_FUSE_SUPPORT_EN",INDIRECT(Config!$B$1),HLOOKUP(O$1,INDIRECT(Config!$E$1),2,FALSE),FALSE)=1,VLOOKUP("ROM_INT_FUSE_PULL",INDIRECT(Config!$B$1),HLOOKUP(O$1,INDIRECT(Config!$E$1),2,FALSE),FALSE),0))</f>
        <v>0</v>
      </c>
    </row>
    <row r="67" spans="1:15" x14ac:dyDescent="0.35">
      <c r="A67" s="166"/>
      <c r="B67" s="17" t="s">
        <v>688</v>
      </c>
      <c r="C67" s="7">
        <v>1</v>
      </c>
      <c r="D67" s="7">
        <v>1</v>
      </c>
      <c r="E67" s="17" t="s">
        <v>212</v>
      </c>
      <c r="F67" s="17" t="s">
        <v>213</v>
      </c>
      <c r="G67" s="17">
        <v>0</v>
      </c>
      <c r="H67" s="20">
        <v>1</v>
      </c>
      <c r="I67" s="147" t="s">
        <v>18</v>
      </c>
      <c r="J67" s="7" t="s">
        <v>68</v>
      </c>
      <c r="K67" s="7" t="s">
        <v>748</v>
      </c>
      <c r="L67" s="7" t="s">
        <v>468</v>
      </c>
      <c r="M67" s="3">
        <f ca="1">IF($B67="N/A","N/A",IF(VLOOKUP("PARAM_REPAIR_FUSE_SUPPORT_EN",INDIRECT(Config!$B$1),HLOOKUP(M$1,INDIRECT(Config!$E$1),2,FALSE),FALSE)=1,VLOOKUP("RF_FUSE_INT_PULL",INDIRECT(Config!$B$1),HLOOKUP(M$1,INDIRECT(Config!$E$1),2,FALSE),FALSE),0))</f>
        <v>0</v>
      </c>
      <c r="N67" s="3">
        <f ca="1">IF($B67="N/A","N/A",IF(VLOOKUP("PARAM_REPAIR_FUSE_SUPPORT_EN",INDIRECT(Config!$B$1),HLOOKUP(N$1,INDIRECT(Config!$E$1),2,FALSE),FALSE)=1,VLOOKUP("RF_FUSE_INT_PULL",INDIRECT(Config!$B$1),HLOOKUP(N$1,INDIRECT(Config!$E$1),2,FALSE),FALSE),0))</f>
        <v>0</v>
      </c>
      <c r="O67" s="3">
        <f ca="1">IF($B67="N/A","N/A",IF(VLOOKUP("PARAM_REPAIR_FUSE_SUPPORT_EN",INDIRECT(Config!$B$1),HLOOKUP(O$1,INDIRECT(Config!$E$1),2,FALSE),FALSE)=1,VLOOKUP("RF_FUSE_INT_PULL",INDIRECT(Config!$B$1),HLOOKUP(O$1,INDIRECT(Config!$E$1),2,FALSE),FALSE),0))</f>
        <v>0</v>
      </c>
    </row>
    <row r="68" spans="1:15" x14ac:dyDescent="0.35">
      <c r="A68" s="166"/>
      <c r="B68" s="17" t="s">
        <v>688</v>
      </c>
      <c r="C68" s="7">
        <v>2</v>
      </c>
      <c r="D68" s="7">
        <v>1</v>
      </c>
      <c r="E68" s="17" t="s">
        <v>214</v>
      </c>
      <c r="F68" s="17" t="s">
        <v>215</v>
      </c>
      <c r="G68" s="17">
        <v>0</v>
      </c>
      <c r="H68" s="20">
        <v>0</v>
      </c>
      <c r="I68" s="147" t="s">
        <v>18</v>
      </c>
      <c r="J68" s="7" t="s">
        <v>68</v>
      </c>
      <c r="K68" s="7" t="s">
        <v>749</v>
      </c>
      <c r="L68" s="7" t="s">
        <v>469</v>
      </c>
      <c r="M68" s="3">
        <f ca="1">IF($B68="N/A","N/A",IF(VLOOKUP("PARAM_REPAIR_FUSE_SUPPORT_EN",INDIRECT(Config!$B$1),HLOOKUP(M$1,INDIRECT(Config!$E$1),2,FALSE),FALSE)=1,VLOOKUP("RF_FUSE_INT_PULL",INDIRECT(Config!$B$1),HLOOKUP(M$1,INDIRECT(Config!$E$1),2,FALSE),FALSE),0))</f>
        <v>0</v>
      </c>
      <c r="N68" s="3">
        <f ca="1">IF($B68="N/A","N/A",IF(VLOOKUP("PARAM_REPAIR_FUSE_SUPPORT_EN",INDIRECT(Config!$B$1),HLOOKUP(N$1,INDIRECT(Config!$E$1),2,FALSE),FALSE)=1,VLOOKUP("RF_FUSE_INT_PULL",INDIRECT(Config!$B$1),HLOOKUP(N$1,INDIRECT(Config!$E$1),2,FALSE),FALSE),0))</f>
        <v>0</v>
      </c>
      <c r="O68" s="3">
        <f ca="1">IF($B68="N/A","N/A",IF(VLOOKUP("PARAM_REPAIR_FUSE_SUPPORT_EN",INDIRECT(Config!$B$1),HLOOKUP(O$1,INDIRECT(Config!$E$1),2,FALSE),FALSE)=1,VLOOKUP("RF_FUSE_INT_PULL",INDIRECT(Config!$B$1),HLOOKUP(O$1,INDIRECT(Config!$E$1),2,FALSE),FALSE),0))</f>
        <v>0</v>
      </c>
    </row>
    <row r="69" spans="1:15" x14ac:dyDescent="0.35">
      <c r="A69" s="166"/>
      <c r="B69" s="4" t="s">
        <v>626</v>
      </c>
      <c r="C69" s="7">
        <v>3</v>
      </c>
      <c r="D69" s="7">
        <v>1</v>
      </c>
      <c r="E69" s="17" t="s">
        <v>216</v>
      </c>
      <c r="F69" s="2" t="s">
        <v>217</v>
      </c>
      <c r="G69" s="2">
        <v>0</v>
      </c>
      <c r="H69" s="19">
        <v>0</v>
      </c>
      <c r="I69" s="147" t="s">
        <v>18</v>
      </c>
      <c r="J69" s="7" t="s">
        <v>71</v>
      </c>
      <c r="K69" s="7" t="s">
        <v>750</v>
      </c>
      <c r="L69" s="7" t="s">
        <v>540</v>
      </c>
      <c r="M69" s="4">
        <f t="shared" ref="M69:O70" si="4">IF($B69="N/A", "N/A", 1)</f>
        <v>1</v>
      </c>
      <c r="N69" s="4">
        <f t="shared" si="4"/>
        <v>1</v>
      </c>
      <c r="O69" s="4">
        <f t="shared" si="4"/>
        <v>1</v>
      </c>
    </row>
    <row r="70" spans="1:15" x14ac:dyDescent="0.35">
      <c r="A70" s="166"/>
      <c r="B70" s="4" t="s">
        <v>626</v>
      </c>
      <c r="C70" s="7">
        <v>4</v>
      </c>
      <c r="D70" s="7">
        <v>1</v>
      </c>
      <c r="E70" s="17" t="s">
        <v>218</v>
      </c>
      <c r="F70" s="2" t="s">
        <v>219</v>
      </c>
      <c r="G70" s="2">
        <v>0</v>
      </c>
      <c r="H70" s="19">
        <v>0</v>
      </c>
      <c r="I70" s="147" t="s">
        <v>18</v>
      </c>
      <c r="J70" s="7" t="s">
        <v>71</v>
      </c>
      <c r="K70" s="7" t="s">
        <v>751</v>
      </c>
      <c r="L70" s="7" t="s">
        <v>541</v>
      </c>
      <c r="M70" s="4">
        <f t="shared" si="4"/>
        <v>1</v>
      </c>
      <c r="N70" s="4">
        <f t="shared" si="4"/>
        <v>1</v>
      </c>
      <c r="O70" s="4">
        <f t="shared" si="4"/>
        <v>1</v>
      </c>
    </row>
    <row r="71" spans="1:15" x14ac:dyDescent="0.35">
      <c r="A71" s="166"/>
      <c r="B71" s="2" t="s">
        <v>50</v>
      </c>
      <c r="C71" s="2">
        <v>5</v>
      </c>
      <c r="D71" s="2">
        <v>1</v>
      </c>
      <c r="E71" s="2"/>
      <c r="F71" s="7" t="s">
        <v>220</v>
      </c>
      <c r="G71" s="7">
        <v>0</v>
      </c>
      <c r="H71" s="21">
        <v>0</v>
      </c>
      <c r="I71" s="147" t="s">
        <v>18</v>
      </c>
      <c r="J71" s="7"/>
      <c r="K71" s="7" t="s">
        <v>811</v>
      </c>
      <c r="L71" s="7" t="s">
        <v>472</v>
      </c>
      <c r="M71" s="4" t="str">
        <f ca="1">IF($B71="N/A", "N/A", VLOOKUP($B71, INDIRECT(Config!$B$1), HLOOKUP(M$1, INDIRECT(Config!$E$1), 2, FALSE),FALSE))</f>
        <v>N/A</v>
      </c>
      <c r="N71" s="4" t="str">
        <f ca="1">IF($B71="N/A", "N/A", VLOOKUP($B71, INDIRECT(Config!$B$1), HLOOKUP(N$1, INDIRECT(Config!$E$1), 2, FALSE),FALSE))</f>
        <v>N/A</v>
      </c>
      <c r="O71" s="4" t="str">
        <f ca="1">IF($B71="N/A", "N/A", VLOOKUP($B71, INDIRECT(Config!$B$1), HLOOKUP(O$1, INDIRECT(Config!$E$1), 2, FALSE),FALSE))</f>
        <v>N/A</v>
      </c>
    </row>
    <row r="72" spans="1:15" x14ac:dyDescent="0.35">
      <c r="A72" s="166"/>
      <c r="B72" s="2" t="s">
        <v>221</v>
      </c>
      <c r="C72" s="2">
        <v>6</v>
      </c>
      <c r="D72" s="2">
        <v>1</v>
      </c>
      <c r="E72" s="2" t="s">
        <v>222</v>
      </c>
      <c r="F72" s="17" t="s">
        <v>223</v>
      </c>
      <c r="G72" s="17">
        <v>1</v>
      </c>
      <c r="H72" s="20">
        <v>0</v>
      </c>
      <c r="I72" s="147" t="s">
        <v>18</v>
      </c>
      <c r="J72" s="7" t="s">
        <v>68</v>
      </c>
      <c r="K72" s="7" t="s">
        <v>752</v>
      </c>
      <c r="L72" s="7" t="s">
        <v>542</v>
      </c>
      <c r="M72" s="3">
        <f ca="1">IF($B72="N/A", "N/A", VLOOKUP($B72, INDIRECT(Config!$B$1), HLOOKUP(M$1, INDIRECT(Config!$E$1), 2, FALSE),FALSE))</f>
        <v>0</v>
      </c>
      <c r="N72" s="3">
        <f ca="1">IF($B72="N/A", "N/A", VLOOKUP($B72, INDIRECT(Config!$B$1), HLOOKUP(N$1, INDIRECT(Config!$E$1), 2, FALSE),FALSE))</f>
        <v>0</v>
      </c>
      <c r="O72" s="3">
        <f ca="1">IF($B72="N/A", "N/A", VLOOKUP($B72, INDIRECT(Config!$B$1), HLOOKUP(O$1, INDIRECT(Config!$E$1), 2, FALSE),FALSE))</f>
        <v>0</v>
      </c>
    </row>
    <row r="73" spans="1:15" x14ac:dyDescent="0.35">
      <c r="A73" s="166"/>
      <c r="B73" s="2" t="s">
        <v>221</v>
      </c>
      <c r="C73" s="2">
        <v>7</v>
      </c>
      <c r="D73" s="2">
        <v>1</v>
      </c>
      <c r="E73" s="2" t="s">
        <v>224</v>
      </c>
      <c r="F73" s="7" t="s">
        <v>225</v>
      </c>
      <c r="G73" s="7">
        <v>1</v>
      </c>
      <c r="H73" s="21">
        <v>0</v>
      </c>
      <c r="I73" s="147" t="s">
        <v>18</v>
      </c>
      <c r="J73" s="7" t="s">
        <v>68</v>
      </c>
      <c r="K73" s="7" t="s">
        <v>753</v>
      </c>
      <c r="L73" s="7" t="s">
        <v>543</v>
      </c>
      <c r="M73" s="3">
        <f ca="1">IF($B73="N/A", "N/A", VLOOKUP($B73, INDIRECT(Config!$B$1), HLOOKUP(M$1, INDIRECT(Config!$E$1), 2, FALSE),FALSE))</f>
        <v>0</v>
      </c>
      <c r="N73" s="3">
        <f ca="1">IF($B73="N/A", "N/A", VLOOKUP($B73, INDIRECT(Config!$B$1), HLOOKUP(N$1, INDIRECT(Config!$E$1), 2, FALSE),FALSE))</f>
        <v>0</v>
      </c>
      <c r="O73" s="3">
        <f ca="1">IF($B73="N/A", "N/A", VLOOKUP($B73, INDIRECT(Config!$B$1), HLOOKUP(O$1, INDIRECT(Config!$E$1), 2, FALSE),FALSE))</f>
        <v>0</v>
      </c>
    </row>
    <row r="74" spans="1:15" x14ac:dyDescent="0.35">
      <c r="A74" s="166"/>
      <c r="B74" s="4" t="s">
        <v>626</v>
      </c>
      <c r="C74" s="7">
        <v>8</v>
      </c>
      <c r="D74" s="7">
        <v>1</v>
      </c>
      <c r="E74" s="17" t="s">
        <v>226</v>
      </c>
      <c r="F74" s="2" t="s">
        <v>227</v>
      </c>
      <c r="G74" s="2">
        <v>0</v>
      </c>
      <c r="H74" s="19">
        <v>0</v>
      </c>
      <c r="I74" s="3"/>
      <c r="J74" s="7" t="s">
        <v>71</v>
      </c>
      <c r="K74" s="7" t="s">
        <v>754</v>
      </c>
      <c r="L74" s="7" t="s">
        <v>544</v>
      </c>
      <c r="M74" s="4">
        <f>IF($B74="N/A", "N/A", 1)</f>
        <v>1</v>
      </c>
      <c r="N74" s="4">
        <f>IF($B74="N/A", "N/A", 1)</f>
        <v>1</v>
      </c>
      <c r="O74" s="4">
        <f>IF($B74="N/A", "N/A", 1)</f>
        <v>1</v>
      </c>
    </row>
    <row r="75" spans="1:15" x14ac:dyDescent="0.35">
      <c r="A75" s="166"/>
      <c r="B75" s="17" t="s">
        <v>228</v>
      </c>
      <c r="C75" s="7">
        <v>9</v>
      </c>
      <c r="D75" s="7">
        <v>7</v>
      </c>
      <c r="E75" s="17" t="s">
        <v>229</v>
      </c>
      <c r="F75" s="17" t="s">
        <v>230</v>
      </c>
      <c r="G75" s="17">
        <v>0</v>
      </c>
      <c r="H75" s="20">
        <v>0</v>
      </c>
      <c r="I75" s="3"/>
      <c r="J75" s="7" t="s">
        <v>89</v>
      </c>
      <c r="K75" s="7" t="s">
        <v>755</v>
      </c>
      <c r="L75" s="7" t="s">
        <v>545</v>
      </c>
      <c r="M75" s="3">
        <f ca="1">IF($B75="N/A", "N/A", VLOOKUP($B75, INDIRECT(Config!$B$1), HLOOKUP(M$1, INDIRECT(Config!$E$1), 2, FALSE),FALSE))</f>
        <v>0</v>
      </c>
      <c r="N75" s="3">
        <f ca="1">IF($B75="N/A", "N/A", VLOOKUP($B75, INDIRECT(Config!$B$1), HLOOKUP(N$1, INDIRECT(Config!$E$1), 2, FALSE),FALSE))</f>
        <v>0</v>
      </c>
      <c r="O75" s="3">
        <f ca="1">IF($B75="N/A", "N/A", VLOOKUP($B75, INDIRECT(Config!$B$1), HLOOKUP(O$1, INDIRECT(Config!$E$1), 2, FALSE),FALSE))</f>
        <v>0</v>
      </c>
    </row>
    <row r="76" spans="1:15" x14ac:dyDescent="0.35">
      <c r="A76" s="166"/>
      <c r="B76" s="17" t="s">
        <v>231</v>
      </c>
      <c r="C76" s="7">
        <v>16</v>
      </c>
      <c r="D76" s="7">
        <v>1</v>
      </c>
      <c r="E76" s="17" t="s">
        <v>232</v>
      </c>
      <c r="F76" s="17" t="s">
        <v>233</v>
      </c>
      <c r="G76" s="17">
        <v>0</v>
      </c>
      <c r="H76" s="20">
        <v>0</v>
      </c>
      <c r="I76" s="3" t="s">
        <v>18</v>
      </c>
      <c r="J76" s="7" t="s">
        <v>89</v>
      </c>
      <c r="K76" s="7" t="s">
        <v>756</v>
      </c>
      <c r="L76" s="7" t="s">
        <v>546</v>
      </c>
      <c r="M76" s="3">
        <f ca="1">IF($B76="N/A","N/A",IF(0=VLOOKUP($B76,INDIRECT(Config!$B$1),HLOOKUP(M$1,INDIRECT(Config!$E$1),2,FALSE),FALSE),0,1))</f>
        <v>1</v>
      </c>
      <c r="N76" s="3">
        <f ca="1">IF($B76="N/A","N/A",IF(0=VLOOKUP($B76,INDIRECT(Config!$B$1),HLOOKUP(N$1,INDIRECT(Config!$E$1),2,FALSE),FALSE),0,1))</f>
        <v>0</v>
      </c>
      <c r="O76" s="3">
        <f ca="1">IF($B76="N/A","N/A",IF(0=VLOOKUP($B76,INDIRECT(Config!$B$1),HLOOKUP(O$1,INDIRECT(Config!$E$1),2,FALSE),FALSE),0,1))</f>
        <v>0</v>
      </c>
    </row>
    <row r="77" spans="1:15" x14ac:dyDescent="0.35">
      <c r="A77" s="166"/>
      <c r="B77" s="4" t="s">
        <v>626</v>
      </c>
      <c r="C77" s="7">
        <v>17</v>
      </c>
      <c r="D77" s="7">
        <v>1</v>
      </c>
      <c r="E77" s="17" t="s">
        <v>692</v>
      </c>
      <c r="F77" s="2" t="s">
        <v>234</v>
      </c>
      <c r="G77" s="2">
        <v>0</v>
      </c>
      <c r="H77" s="19">
        <v>0</v>
      </c>
      <c r="I77" s="3" t="s">
        <v>18</v>
      </c>
      <c r="J77" s="7" t="s">
        <v>89</v>
      </c>
      <c r="K77" s="7" t="s">
        <v>849</v>
      </c>
      <c r="L77" s="7" t="s">
        <v>693</v>
      </c>
      <c r="M77" s="4">
        <f>IF($B77="N/A", "N/A", 1)</f>
        <v>1</v>
      </c>
      <c r="N77" s="4">
        <f>IF($B77="N/A", "N/A", 1)</f>
        <v>1</v>
      </c>
      <c r="O77" s="4">
        <f>IF($B77="N/A", "N/A", 1)</f>
        <v>1</v>
      </c>
    </row>
    <row r="78" spans="1:15" x14ac:dyDescent="0.35">
      <c r="A78" s="166"/>
      <c r="B78" s="2" t="s">
        <v>102</v>
      </c>
      <c r="C78" s="2">
        <v>18</v>
      </c>
      <c r="D78" s="2">
        <v>1</v>
      </c>
      <c r="E78" s="2" t="s">
        <v>235</v>
      </c>
      <c r="F78" s="17" t="s">
        <v>236</v>
      </c>
      <c r="G78" s="17">
        <v>0</v>
      </c>
      <c r="H78" s="20">
        <v>0</v>
      </c>
      <c r="I78" s="3" t="s">
        <v>18</v>
      </c>
      <c r="J78" s="7" t="s">
        <v>68</v>
      </c>
      <c r="K78" s="7" t="s">
        <v>758</v>
      </c>
      <c r="L78" s="7" t="s">
        <v>550</v>
      </c>
      <c r="M78" s="3">
        <f ca="1">IF($B78="N/A", "N/A", VLOOKUP($B78, INDIRECT(Config!$B$1), HLOOKUP(M$1, INDIRECT(Config!$E$1), 2, FALSE),FALSE))</f>
        <v>0</v>
      </c>
      <c r="N78" s="3">
        <f ca="1">IF($B78="N/A", "N/A", VLOOKUP($B78, INDIRECT(Config!$B$1), HLOOKUP(N$1, INDIRECT(Config!$E$1), 2, FALSE),FALSE))</f>
        <v>0</v>
      </c>
      <c r="O78" s="3">
        <f ca="1">IF($B78="N/A", "N/A", VLOOKUP($B78, INDIRECT(Config!$B$1), HLOOKUP(O$1, INDIRECT(Config!$E$1), 2, FALSE),FALSE))</f>
        <v>0</v>
      </c>
    </row>
    <row r="79" spans="1:15" x14ac:dyDescent="0.35">
      <c r="A79" s="166"/>
      <c r="B79" s="2" t="s">
        <v>102</v>
      </c>
      <c r="C79" s="2">
        <v>19</v>
      </c>
      <c r="D79" s="2">
        <v>1</v>
      </c>
      <c r="E79" s="2" t="s">
        <v>237</v>
      </c>
      <c r="F79" s="17" t="s">
        <v>238</v>
      </c>
      <c r="G79" s="17">
        <v>0</v>
      </c>
      <c r="H79" s="20">
        <v>0</v>
      </c>
      <c r="I79" s="3" t="s">
        <v>18</v>
      </c>
      <c r="J79" s="7" t="s">
        <v>68</v>
      </c>
      <c r="K79" s="7" t="s">
        <v>759</v>
      </c>
      <c r="L79" s="7" t="s">
        <v>551</v>
      </c>
      <c r="M79" s="3">
        <f ca="1">IF($B79="N/A", "N/A", VLOOKUP($B79, INDIRECT(Config!$B$1), HLOOKUP(M$1, INDIRECT(Config!$E$1), 2, FALSE),FALSE))</f>
        <v>0</v>
      </c>
      <c r="N79" s="3">
        <f ca="1">IF($B79="N/A", "N/A", VLOOKUP($B79, INDIRECT(Config!$B$1), HLOOKUP(N$1, INDIRECT(Config!$E$1), 2, FALSE),FALSE))</f>
        <v>0</v>
      </c>
      <c r="O79" s="3">
        <f ca="1">IF($B79="N/A", "N/A", VLOOKUP($B79, INDIRECT(Config!$B$1), HLOOKUP(O$1, INDIRECT(Config!$E$1), 2, FALSE),FALSE))</f>
        <v>0</v>
      </c>
    </row>
    <row r="80" spans="1:15" x14ac:dyDescent="0.35">
      <c r="A80" s="166"/>
      <c r="B80" s="2" t="s">
        <v>102</v>
      </c>
      <c r="C80" s="2">
        <v>20</v>
      </c>
      <c r="D80" s="2">
        <v>1</v>
      </c>
      <c r="E80" s="2" t="s">
        <v>239</v>
      </c>
      <c r="F80" s="17" t="s">
        <v>240</v>
      </c>
      <c r="G80" s="17">
        <v>0</v>
      </c>
      <c r="H80" s="20">
        <v>0</v>
      </c>
      <c r="I80" s="3" t="s">
        <v>18</v>
      </c>
      <c r="J80" s="7" t="s">
        <v>68</v>
      </c>
      <c r="K80" s="7" t="s">
        <v>760</v>
      </c>
      <c r="L80" s="7" t="s">
        <v>552</v>
      </c>
      <c r="M80" s="3">
        <f ca="1">IF($B80="N/A", "N/A", VLOOKUP($B80, INDIRECT(Config!$B$1), HLOOKUP(M$1, INDIRECT(Config!$E$1), 2, FALSE),FALSE))</f>
        <v>0</v>
      </c>
      <c r="N80" s="3">
        <f ca="1">IF($B80="N/A", "N/A", VLOOKUP($B80, INDIRECT(Config!$B$1), HLOOKUP(N$1, INDIRECT(Config!$E$1), 2, FALSE),FALSE))</f>
        <v>0</v>
      </c>
      <c r="O80" s="3">
        <f ca="1">IF($B80="N/A", "N/A", VLOOKUP($B80, INDIRECT(Config!$B$1), HLOOKUP(O$1, INDIRECT(Config!$E$1), 2, FALSE),FALSE))</f>
        <v>0</v>
      </c>
    </row>
    <row r="81" spans="1:15" x14ac:dyDescent="0.35">
      <c r="A81" s="166"/>
      <c r="B81" s="3" t="s">
        <v>241</v>
      </c>
      <c r="C81" s="7">
        <v>21</v>
      </c>
      <c r="D81" s="7">
        <v>1</v>
      </c>
      <c r="E81" s="3" t="s">
        <v>242</v>
      </c>
      <c r="F81" s="3" t="s">
        <v>243</v>
      </c>
      <c r="G81" s="3">
        <v>0</v>
      </c>
      <c r="H81" s="22">
        <v>0</v>
      </c>
      <c r="I81" s="3" t="s">
        <v>18</v>
      </c>
      <c r="J81" s="7" t="s">
        <v>89</v>
      </c>
      <c r="K81" s="7" t="s">
        <v>761</v>
      </c>
      <c r="L81" s="7" t="s">
        <v>553</v>
      </c>
      <c r="M81" s="3">
        <f ca="1">IF($B81="N/A", "N/A", VLOOKUP($B81, INDIRECT(Config!$B$1), HLOOKUP(M$1, INDIRECT(Config!$E$1), 2, FALSE),FALSE))</f>
        <v>1</v>
      </c>
      <c r="N81" s="3">
        <f ca="1">IF($B81="N/A", "N/A", VLOOKUP($B81, INDIRECT(Config!$B$1), HLOOKUP(N$1, INDIRECT(Config!$E$1), 2, FALSE),FALSE))</f>
        <v>1</v>
      </c>
      <c r="O81" s="3">
        <f ca="1">IF($B81="N/A", "N/A", VLOOKUP($B81, INDIRECT(Config!$B$1), HLOOKUP(O$1, INDIRECT(Config!$E$1), 2, FALSE),FALSE))</f>
        <v>0</v>
      </c>
    </row>
    <row r="82" spans="1:15" x14ac:dyDescent="0.35">
      <c r="A82" s="166"/>
      <c r="B82" s="2" t="s">
        <v>50</v>
      </c>
      <c r="C82" s="7">
        <v>22</v>
      </c>
      <c r="D82" s="7">
        <v>2</v>
      </c>
      <c r="E82" s="2"/>
      <c r="F82" s="3" t="s">
        <v>681</v>
      </c>
      <c r="G82" s="3">
        <v>0</v>
      </c>
      <c r="H82" s="22">
        <v>0</v>
      </c>
      <c r="I82" s="3" t="s">
        <v>18</v>
      </c>
      <c r="J82" s="7"/>
      <c r="K82" s="7" t="s">
        <v>812</v>
      </c>
      <c r="L82" s="7" t="s">
        <v>472</v>
      </c>
      <c r="M82" s="4" t="str">
        <f ca="1">IF($B82="N/A", "N/A", VLOOKUP($B82, INDIRECT(Config!$B$1), HLOOKUP(M$1, INDIRECT(Config!$E$1), 2, FALSE),FALSE))</f>
        <v>N/A</v>
      </c>
      <c r="N82" s="4" t="str">
        <f ca="1">IF($B82="N/A", "N/A", VLOOKUP($B82, INDIRECT(Config!$B$1), HLOOKUP(N$1, INDIRECT(Config!$E$1), 2, FALSE),FALSE))</f>
        <v>N/A</v>
      </c>
      <c r="O82" s="4" t="str">
        <f ca="1">IF($B82="N/A", "N/A", VLOOKUP($B82, INDIRECT(Config!$B$1), HLOOKUP(O$1, INDIRECT(Config!$E$1), 2, FALSE),FALSE))</f>
        <v>N/A</v>
      </c>
    </row>
    <row r="83" spans="1:15" x14ac:dyDescent="0.35">
      <c r="A83" s="166"/>
      <c r="B83" s="4" t="s">
        <v>626</v>
      </c>
      <c r="C83" s="7">
        <v>24</v>
      </c>
      <c r="D83" s="7">
        <v>1</v>
      </c>
      <c r="E83" s="17" t="s">
        <v>245</v>
      </c>
      <c r="F83" s="2" t="s">
        <v>246</v>
      </c>
      <c r="G83" s="2">
        <v>0</v>
      </c>
      <c r="H83" s="19">
        <v>0</v>
      </c>
      <c r="I83" s="3"/>
      <c r="J83" s="17" t="s">
        <v>89</v>
      </c>
      <c r="K83" s="17" t="s">
        <v>742</v>
      </c>
      <c r="L83" s="17" t="s">
        <v>554</v>
      </c>
      <c r="M83" s="4">
        <f t="shared" ref="M83:O84" si="5">IF($B83="N/A", "N/A", 1)</f>
        <v>1</v>
      </c>
      <c r="N83" s="4">
        <f t="shared" si="5"/>
        <v>1</v>
      </c>
      <c r="O83" s="4">
        <f t="shared" si="5"/>
        <v>1</v>
      </c>
    </row>
    <row r="84" spans="1:15" x14ac:dyDescent="0.35">
      <c r="A84" s="166"/>
      <c r="B84" s="4" t="s">
        <v>626</v>
      </c>
      <c r="C84" s="7">
        <v>25</v>
      </c>
      <c r="D84" s="7">
        <v>1</v>
      </c>
      <c r="E84" s="17" t="s">
        <v>247</v>
      </c>
      <c r="F84" s="2" t="s">
        <v>248</v>
      </c>
      <c r="G84" s="2">
        <v>0</v>
      </c>
      <c r="H84" s="19">
        <v>0</v>
      </c>
      <c r="I84" s="3"/>
      <c r="J84" s="17" t="s">
        <v>89</v>
      </c>
      <c r="K84" s="17" t="s">
        <v>743</v>
      </c>
      <c r="L84" s="17" t="s">
        <v>555</v>
      </c>
      <c r="M84" s="4">
        <f t="shared" si="5"/>
        <v>1</v>
      </c>
      <c r="N84" s="4">
        <f t="shared" si="5"/>
        <v>1</v>
      </c>
      <c r="O84" s="4">
        <f t="shared" si="5"/>
        <v>1</v>
      </c>
    </row>
    <row r="85" spans="1:15" x14ac:dyDescent="0.35">
      <c r="A85" s="166"/>
      <c r="B85" s="17" t="s">
        <v>249</v>
      </c>
      <c r="C85" s="7">
        <v>26</v>
      </c>
      <c r="D85" s="7">
        <v>5</v>
      </c>
      <c r="E85" s="17" t="s">
        <v>250</v>
      </c>
      <c r="F85" s="17" t="s">
        <v>251</v>
      </c>
      <c r="G85" s="17">
        <v>0</v>
      </c>
      <c r="H85" s="20">
        <v>0</v>
      </c>
      <c r="I85" s="3"/>
      <c r="J85" s="17" t="s">
        <v>89</v>
      </c>
      <c r="K85" s="17" t="s">
        <v>744</v>
      </c>
      <c r="L85" s="17" t="s">
        <v>556</v>
      </c>
      <c r="M85" s="3">
        <f ca="1">IF($B85="N/A", "N/A", VLOOKUP($B85, INDIRECT(Config!$B$1), HLOOKUP(M$1, INDIRECT(Config!$E$1), 2, FALSE),FALSE))</f>
        <v>0</v>
      </c>
      <c r="N85" s="3">
        <f ca="1">IF($B85="N/A", "N/A", VLOOKUP($B85, INDIRECT(Config!$B$1), HLOOKUP(N$1, INDIRECT(Config!$E$1), 2, FALSE),FALSE))</f>
        <v>0</v>
      </c>
      <c r="O85" s="3">
        <f ca="1">IF($B85="N/A", "N/A", VLOOKUP($B85, INDIRECT(Config!$B$1), HLOOKUP(O$1, INDIRECT(Config!$E$1), 2, FALSE),FALSE))</f>
        <v>0</v>
      </c>
    </row>
    <row r="86" spans="1:15" x14ac:dyDescent="0.35">
      <c r="A86" s="166"/>
      <c r="B86" s="4" t="s">
        <v>626</v>
      </c>
      <c r="C86" s="7">
        <v>31</v>
      </c>
      <c r="D86" s="7">
        <v>1</v>
      </c>
      <c r="E86" s="17" t="s">
        <v>252</v>
      </c>
      <c r="F86" s="2" t="s">
        <v>253</v>
      </c>
      <c r="G86" s="2">
        <v>0</v>
      </c>
      <c r="H86" s="19">
        <v>0</v>
      </c>
      <c r="I86" s="3"/>
      <c r="J86" s="17" t="s">
        <v>89</v>
      </c>
      <c r="K86" s="17" t="s">
        <v>848</v>
      </c>
      <c r="L86" s="17" t="s">
        <v>558</v>
      </c>
      <c r="M86" s="4">
        <f>IF($B86="N/A", "N/A", 1)</f>
        <v>1</v>
      </c>
      <c r="N86" s="4">
        <f>IF($B86="N/A", "N/A", 1)</f>
        <v>1</v>
      </c>
      <c r="O86" s="4">
        <f>IF($B86="N/A", "N/A", 1)</f>
        <v>1</v>
      </c>
    </row>
    <row r="87" spans="1:15" x14ac:dyDescent="0.35">
      <c r="A87" s="176" t="s">
        <v>254</v>
      </c>
      <c r="B87" s="7" t="s">
        <v>402</v>
      </c>
      <c r="C87" s="7">
        <v>0</v>
      </c>
      <c r="D87" s="7">
        <v>16</v>
      </c>
      <c r="E87" s="7" t="s">
        <v>255</v>
      </c>
      <c r="F87" s="131" t="s">
        <v>396</v>
      </c>
      <c r="G87" s="7">
        <v>0</v>
      </c>
      <c r="H87" s="21">
        <v>0</v>
      </c>
      <c r="I87" s="3"/>
      <c r="J87" s="7" t="s">
        <v>68</v>
      </c>
      <c r="K87" s="7" t="s">
        <v>789</v>
      </c>
      <c r="L87" s="7" t="s">
        <v>479</v>
      </c>
      <c r="M87" s="3">
        <f ca="1">IF($B87="N/A", "N/A", VLOOKUP($B87, INDIRECT(Config!$B$1), HLOOKUP(M$1, INDIRECT(Config!$E$1), 2, FALSE),FALSE))</f>
        <v>0</v>
      </c>
      <c r="N87" s="3">
        <f ca="1">IF($B87="N/A", "N/A", VLOOKUP($B87, INDIRECT(Config!$B$1), HLOOKUP(N$1, INDIRECT(Config!$E$1), 2, FALSE),FALSE))</f>
        <v>0</v>
      </c>
      <c r="O87" s="3">
        <f ca="1">IF($B87="N/A", "N/A", VLOOKUP($B87, INDIRECT(Config!$B$1), HLOOKUP(O$1, INDIRECT(Config!$E$1), 2, FALSE),FALSE))</f>
        <v>0</v>
      </c>
    </row>
    <row r="88" spans="1:15" x14ac:dyDescent="0.35">
      <c r="A88" s="187"/>
      <c r="B88" s="7" t="s">
        <v>402</v>
      </c>
      <c r="C88" s="7">
        <v>16</v>
      </c>
      <c r="D88" s="7">
        <v>8</v>
      </c>
      <c r="E88" s="7" t="s">
        <v>256</v>
      </c>
      <c r="F88" s="131" t="s">
        <v>396</v>
      </c>
      <c r="G88" s="7">
        <v>0</v>
      </c>
      <c r="H88" s="21">
        <v>0</v>
      </c>
      <c r="I88" s="3"/>
      <c r="J88" s="7" t="s">
        <v>68</v>
      </c>
      <c r="K88" s="7" t="s">
        <v>781</v>
      </c>
      <c r="L88" s="7" t="s">
        <v>479</v>
      </c>
      <c r="M88" s="3">
        <f ca="1">IF($B88="N/A", "N/A", VLOOKUP($B88, INDIRECT(Config!$B$1), HLOOKUP(M$1, INDIRECT(Config!$E$1), 2, FALSE),FALSE))</f>
        <v>0</v>
      </c>
      <c r="N88" s="3">
        <f ca="1">IF($B88="N/A", "N/A", VLOOKUP($B88, INDIRECT(Config!$B$1), HLOOKUP(N$1, INDIRECT(Config!$E$1), 2, FALSE),FALSE))</f>
        <v>0</v>
      </c>
      <c r="O88" s="3">
        <f ca="1">IF($B88="N/A", "N/A", VLOOKUP($B88, INDIRECT(Config!$B$1), HLOOKUP(O$1, INDIRECT(Config!$E$1), 2, FALSE),FALSE))</f>
        <v>0</v>
      </c>
    </row>
    <row r="89" spans="1:15" x14ac:dyDescent="0.35">
      <c r="A89" s="175"/>
      <c r="B89" s="16" t="s">
        <v>209</v>
      </c>
      <c r="C89" s="7">
        <v>24</v>
      </c>
      <c r="D89" s="7">
        <v>8</v>
      </c>
      <c r="E89" s="7" t="s">
        <v>257</v>
      </c>
      <c r="F89" s="131" t="s">
        <v>396</v>
      </c>
      <c r="G89" s="7">
        <v>0</v>
      </c>
      <c r="H89" s="21">
        <v>0</v>
      </c>
      <c r="I89" s="3"/>
      <c r="J89" s="7" t="s">
        <v>68</v>
      </c>
      <c r="K89" s="7" t="s">
        <v>790</v>
      </c>
      <c r="L89" s="7" t="s">
        <v>480</v>
      </c>
      <c r="M89" s="3">
        <f ca="1">IF($B89="N/A", "N/A", VLOOKUP($B89, INDIRECT(Config!$B$1), HLOOKUP(M$1, INDIRECT(Config!$E$1), 2, FALSE),FALSE))</f>
        <v>0</v>
      </c>
      <c r="N89" s="3">
        <f ca="1">IF($B89="N/A", "N/A", VLOOKUP($B89, INDIRECT(Config!$B$1), HLOOKUP(N$1, INDIRECT(Config!$E$1), 2, FALSE),FALSE))</f>
        <v>0</v>
      </c>
      <c r="O89" s="3">
        <f ca="1">IF($B89="N/A", "N/A", VLOOKUP($B89, INDIRECT(Config!$B$1), HLOOKUP(O$1, INDIRECT(Config!$E$1), 2, FALSE),FALSE))</f>
        <v>0</v>
      </c>
    </row>
    <row r="90" spans="1:15" x14ac:dyDescent="0.35">
      <c r="A90" s="18" t="s">
        <v>258</v>
      </c>
      <c r="B90" s="7" t="s">
        <v>402</v>
      </c>
      <c r="C90" s="7">
        <v>0</v>
      </c>
      <c r="D90" s="7">
        <v>32</v>
      </c>
      <c r="E90" s="7" t="s">
        <v>258</v>
      </c>
      <c r="F90" s="24" t="s">
        <v>396</v>
      </c>
      <c r="G90" s="7">
        <v>0</v>
      </c>
      <c r="H90" s="21">
        <v>0</v>
      </c>
      <c r="I90" s="3"/>
      <c r="J90" s="7" t="s">
        <v>68</v>
      </c>
      <c r="K90" s="7" t="s">
        <v>791</v>
      </c>
      <c r="L90" s="7" t="s">
        <v>481</v>
      </c>
      <c r="M90" s="3">
        <f ca="1">IF($B90="N/A", "N/A", VLOOKUP($B90, INDIRECT(Config!$B$1), HLOOKUP(M$1, INDIRECT(Config!$E$1), 2, FALSE),FALSE))</f>
        <v>0</v>
      </c>
      <c r="N90" s="3">
        <f ca="1">IF($B90="N/A", "N/A", VLOOKUP($B90, INDIRECT(Config!$B$1), HLOOKUP(N$1, INDIRECT(Config!$E$1), 2, FALSE),FALSE))</f>
        <v>0</v>
      </c>
      <c r="O90" s="3">
        <f ca="1">IF($B90="N/A", "N/A", VLOOKUP($B90, INDIRECT(Config!$B$1), HLOOKUP(O$1, INDIRECT(Config!$E$1), 2, FALSE),FALSE))</f>
        <v>0</v>
      </c>
    </row>
    <row r="91" spans="1:15" x14ac:dyDescent="0.35">
      <c r="A91" s="18" t="s">
        <v>259</v>
      </c>
      <c r="B91" s="7" t="s">
        <v>402</v>
      </c>
      <c r="C91" s="7">
        <v>0</v>
      </c>
      <c r="D91" s="7">
        <v>32</v>
      </c>
      <c r="E91" s="7" t="s">
        <v>259</v>
      </c>
      <c r="F91" s="24" t="s">
        <v>396</v>
      </c>
      <c r="G91" s="7">
        <v>0</v>
      </c>
      <c r="H91" s="21">
        <v>0</v>
      </c>
      <c r="I91" s="3"/>
      <c r="J91" s="7" t="s">
        <v>68</v>
      </c>
      <c r="K91" s="7" t="s">
        <v>792</v>
      </c>
      <c r="L91" s="7" t="s">
        <v>482</v>
      </c>
      <c r="M91" s="3">
        <f ca="1">IF($B91="N/A", "N/A", VLOOKUP($B91, INDIRECT(Config!$B$1), HLOOKUP(M$1, INDIRECT(Config!$E$1), 2, FALSE),FALSE))</f>
        <v>0</v>
      </c>
      <c r="N91" s="3">
        <f ca="1">IF($B91="N/A", "N/A", VLOOKUP($B91, INDIRECT(Config!$B$1), HLOOKUP(N$1, INDIRECT(Config!$E$1), 2, FALSE),FALSE))</f>
        <v>0</v>
      </c>
      <c r="O91" s="3">
        <f ca="1">IF($B91="N/A", "N/A", VLOOKUP($B91, INDIRECT(Config!$B$1), HLOOKUP(O$1, INDIRECT(Config!$E$1), 2, FALSE),FALSE))</f>
        <v>0</v>
      </c>
    </row>
    <row r="92" spans="1:15" x14ac:dyDescent="0.35">
      <c r="A92" s="18" t="s">
        <v>260</v>
      </c>
      <c r="B92" s="7" t="s">
        <v>402</v>
      </c>
      <c r="C92" s="7">
        <v>0</v>
      </c>
      <c r="D92" s="7">
        <v>32</v>
      </c>
      <c r="E92" s="7" t="s">
        <v>260</v>
      </c>
      <c r="F92" s="24" t="s">
        <v>396</v>
      </c>
      <c r="G92" s="7">
        <v>0</v>
      </c>
      <c r="H92" s="21">
        <v>0</v>
      </c>
      <c r="I92" s="3"/>
      <c r="J92" s="7" t="s">
        <v>68</v>
      </c>
      <c r="K92" s="7" t="s">
        <v>793</v>
      </c>
      <c r="L92" s="7" t="s">
        <v>483</v>
      </c>
      <c r="M92" s="3">
        <f ca="1">IF($B92="N/A", "N/A", VLOOKUP($B92, INDIRECT(Config!$B$1), HLOOKUP(M$1, INDIRECT(Config!$E$1), 2, FALSE),FALSE))</f>
        <v>0</v>
      </c>
      <c r="N92" s="3">
        <f ca="1">IF($B92="N/A", "N/A", VLOOKUP($B92, INDIRECT(Config!$B$1), HLOOKUP(N$1, INDIRECT(Config!$E$1), 2, FALSE),FALSE))</f>
        <v>0</v>
      </c>
      <c r="O92" s="3">
        <f ca="1">IF($B92="N/A", "N/A", VLOOKUP($B92, INDIRECT(Config!$B$1), HLOOKUP(O$1, INDIRECT(Config!$E$1), 2, FALSE),FALSE))</f>
        <v>0</v>
      </c>
    </row>
    <row r="93" spans="1:15" x14ac:dyDescent="0.35">
      <c r="A93" s="176" t="s">
        <v>36</v>
      </c>
      <c r="B93" s="7" t="s">
        <v>261</v>
      </c>
      <c r="C93" s="7">
        <v>0</v>
      </c>
      <c r="D93" s="7">
        <v>24</v>
      </c>
      <c r="E93" s="7" t="s">
        <v>262</v>
      </c>
      <c r="F93" s="131" t="s">
        <v>396</v>
      </c>
      <c r="G93" s="7">
        <v>0</v>
      </c>
      <c r="H93" s="21">
        <v>0</v>
      </c>
      <c r="I93" s="3" t="s">
        <v>18</v>
      </c>
      <c r="J93" s="7" t="s">
        <v>68</v>
      </c>
      <c r="K93" s="7" t="s">
        <v>784</v>
      </c>
      <c r="L93" s="7" t="s">
        <v>470</v>
      </c>
      <c r="M93" s="3">
        <f ca="1">IF($B93="N/A", "N/A", VLOOKUP($B93, INDIRECT(Config!$B$1), HLOOKUP(M$1, INDIRECT(Config!$E$1), 2, FALSE),FALSE))</f>
        <v>1</v>
      </c>
      <c r="N93" s="3">
        <f ca="1">IF($B93="N/A", "N/A", VLOOKUP($B93, INDIRECT(Config!$B$1), HLOOKUP(N$1, INDIRECT(Config!$E$1), 2, FALSE),FALSE))</f>
        <v>1</v>
      </c>
      <c r="O93" s="3">
        <f ca="1">IF($B93="N/A", "N/A", VLOOKUP($B93, INDIRECT(Config!$B$1), HLOOKUP(O$1, INDIRECT(Config!$E$1), 2, FALSE),FALSE))</f>
        <v>0</v>
      </c>
    </row>
    <row r="94" spans="1:15" x14ac:dyDescent="0.35">
      <c r="A94" s="187"/>
      <c r="B94" s="7" t="s">
        <v>261</v>
      </c>
      <c r="C94" s="7">
        <v>24</v>
      </c>
      <c r="D94" s="7">
        <v>5</v>
      </c>
      <c r="E94" s="7" t="s">
        <v>263</v>
      </c>
      <c r="F94" s="131" t="s">
        <v>396</v>
      </c>
      <c r="G94" s="7">
        <v>0</v>
      </c>
      <c r="H94" s="21">
        <v>0</v>
      </c>
      <c r="I94" s="3" t="s">
        <v>18</v>
      </c>
      <c r="J94" s="7" t="s">
        <v>68</v>
      </c>
      <c r="K94" s="7" t="s">
        <v>785</v>
      </c>
      <c r="L94" s="7" t="s">
        <v>471</v>
      </c>
      <c r="M94" s="3">
        <f ca="1">IF($B94="N/A", "N/A", VLOOKUP($B94, INDIRECT(Config!$B$1), HLOOKUP(M$1, INDIRECT(Config!$E$1), 2, FALSE),FALSE))</f>
        <v>1</v>
      </c>
      <c r="N94" s="3">
        <f ca="1">IF($B94="N/A", "N/A", VLOOKUP($B94, INDIRECT(Config!$B$1), HLOOKUP(N$1, INDIRECT(Config!$E$1), 2, FALSE),FALSE))</f>
        <v>1</v>
      </c>
      <c r="O94" s="3">
        <f ca="1">IF($B94="N/A", "N/A", VLOOKUP($B94, INDIRECT(Config!$B$1), HLOOKUP(O$1, INDIRECT(Config!$E$1), 2, FALSE),FALSE))</f>
        <v>0</v>
      </c>
    </row>
    <row r="95" spans="1:15" x14ac:dyDescent="0.35">
      <c r="A95" s="187"/>
      <c r="B95" s="7" t="s">
        <v>261</v>
      </c>
      <c r="C95" s="7">
        <v>29</v>
      </c>
      <c r="D95" s="7">
        <v>2</v>
      </c>
      <c r="E95" s="7" t="s">
        <v>264</v>
      </c>
      <c r="F95" s="131" t="s">
        <v>396</v>
      </c>
      <c r="G95" s="7">
        <v>0</v>
      </c>
      <c r="H95" s="21">
        <v>0</v>
      </c>
      <c r="I95" s="3" t="s">
        <v>18</v>
      </c>
      <c r="J95" s="7" t="s">
        <v>68</v>
      </c>
      <c r="K95" s="7" t="s">
        <v>786</v>
      </c>
      <c r="L95" s="7" t="s">
        <v>474</v>
      </c>
      <c r="M95" s="3">
        <f ca="1">IF($B95="N/A", "N/A", VLOOKUP($B95, INDIRECT(Config!$B$1), HLOOKUP(M$1, INDIRECT(Config!$E$1), 2, FALSE),FALSE))</f>
        <v>1</v>
      </c>
      <c r="N95" s="3">
        <f ca="1">IF($B95="N/A", "N/A", VLOOKUP($B95, INDIRECT(Config!$B$1), HLOOKUP(N$1, INDIRECT(Config!$E$1), 2, FALSE),FALSE))</f>
        <v>1</v>
      </c>
      <c r="O95" s="3">
        <f ca="1">IF($B95="N/A", "N/A", VLOOKUP($B95, INDIRECT(Config!$B$1), HLOOKUP(O$1, INDIRECT(Config!$E$1), 2, FALSE),FALSE))</f>
        <v>0</v>
      </c>
    </row>
    <row r="96" spans="1:15" x14ac:dyDescent="0.35">
      <c r="A96" s="175"/>
      <c r="B96" s="7" t="s">
        <v>261</v>
      </c>
      <c r="C96" s="7">
        <v>31</v>
      </c>
      <c r="D96" s="7">
        <v>1</v>
      </c>
      <c r="E96" s="7" t="s">
        <v>265</v>
      </c>
      <c r="F96" s="131" t="s">
        <v>396</v>
      </c>
      <c r="G96" s="7">
        <v>0</v>
      </c>
      <c r="H96" s="21">
        <v>0</v>
      </c>
      <c r="I96" s="3" t="s">
        <v>18</v>
      </c>
      <c r="J96" s="7" t="s">
        <v>68</v>
      </c>
      <c r="K96" s="7" t="s">
        <v>787</v>
      </c>
      <c r="L96" s="7" t="s">
        <v>473</v>
      </c>
      <c r="M96" s="3">
        <f ca="1">IF($B96="N/A", "N/A", VLOOKUP($B96, INDIRECT(Config!$B$1), HLOOKUP(M$1, INDIRECT(Config!$E$1), 2, FALSE),FALSE))</f>
        <v>1</v>
      </c>
      <c r="N96" s="3">
        <f ca="1">IF($B96="N/A", "N/A", VLOOKUP($B96, INDIRECT(Config!$B$1), HLOOKUP(N$1, INDIRECT(Config!$E$1), 2, FALSE),FALSE))</f>
        <v>1</v>
      </c>
      <c r="O96" s="3">
        <f ca="1">IF($B96="N/A", "N/A", VLOOKUP($B96, INDIRECT(Config!$B$1), HLOOKUP(O$1, INDIRECT(Config!$E$1), 2, FALSE),FALSE))</f>
        <v>0</v>
      </c>
    </row>
    <row r="97" spans="1:15" x14ac:dyDescent="0.35">
      <c r="A97" s="166" t="s">
        <v>38</v>
      </c>
      <c r="B97" s="7" t="s">
        <v>221</v>
      </c>
      <c r="C97" s="7">
        <v>0</v>
      </c>
      <c r="D97" s="7">
        <v>8</v>
      </c>
      <c r="E97" s="7" t="s">
        <v>266</v>
      </c>
      <c r="F97" s="131" t="s">
        <v>396</v>
      </c>
      <c r="G97" s="7">
        <v>0</v>
      </c>
      <c r="H97" s="21">
        <v>0</v>
      </c>
      <c r="I97" s="3"/>
      <c r="J97" s="7" t="s">
        <v>131</v>
      </c>
      <c r="K97" s="7" t="s">
        <v>788</v>
      </c>
      <c r="L97" s="7" t="s">
        <v>475</v>
      </c>
      <c r="M97" s="3">
        <f ca="1">IF($B97="N/A", "N/A", VLOOKUP($B97, INDIRECT(Config!$B$1), HLOOKUP(M$1, INDIRECT(Config!$E$1), 2, FALSE),FALSE))</f>
        <v>0</v>
      </c>
      <c r="N97" s="3">
        <f ca="1">IF($B97="N/A", "N/A", VLOOKUP($B97, INDIRECT(Config!$B$1), HLOOKUP(N$1, INDIRECT(Config!$E$1), 2, FALSE),FALSE))</f>
        <v>0</v>
      </c>
      <c r="O97" s="3">
        <f ca="1">IF($B97="N/A", "N/A", VLOOKUP($B97, INDIRECT(Config!$B$1), HLOOKUP(O$1, INDIRECT(Config!$E$1), 2, FALSE),FALSE))</f>
        <v>0</v>
      </c>
    </row>
    <row r="98" spans="1:15" x14ac:dyDescent="0.35">
      <c r="A98" s="166"/>
      <c r="B98" s="7" t="s">
        <v>221</v>
      </c>
      <c r="C98" s="7">
        <v>8</v>
      </c>
      <c r="D98" s="7">
        <v>8</v>
      </c>
      <c r="E98" s="7" t="s">
        <v>267</v>
      </c>
      <c r="F98" s="131" t="s">
        <v>396</v>
      </c>
      <c r="G98" s="7">
        <v>0</v>
      </c>
      <c r="H98" s="21">
        <v>0</v>
      </c>
      <c r="I98" s="3"/>
      <c r="J98" s="7" t="s">
        <v>131</v>
      </c>
      <c r="K98" s="7" t="s">
        <v>788</v>
      </c>
      <c r="L98" s="7" t="s">
        <v>476</v>
      </c>
      <c r="M98" s="3">
        <f ca="1">IF($B98="N/A", "N/A", VLOOKUP($B98, INDIRECT(Config!$B$1), HLOOKUP(M$1, INDIRECT(Config!$E$1), 2, FALSE),FALSE))</f>
        <v>0</v>
      </c>
      <c r="N98" s="3">
        <f ca="1">IF($B98="N/A", "N/A", VLOOKUP($B98, INDIRECT(Config!$B$1), HLOOKUP(N$1, INDIRECT(Config!$E$1), 2, FALSE),FALSE))</f>
        <v>0</v>
      </c>
      <c r="O98" s="3">
        <f ca="1">IF($B98="N/A", "N/A", VLOOKUP($B98, INDIRECT(Config!$B$1), HLOOKUP(O$1, INDIRECT(Config!$E$1), 2, FALSE),FALSE))</f>
        <v>0</v>
      </c>
    </row>
    <row r="99" spans="1:15" x14ac:dyDescent="0.35">
      <c r="A99" s="187"/>
      <c r="B99" s="5" t="s">
        <v>221</v>
      </c>
      <c r="C99" s="5">
        <v>16</v>
      </c>
      <c r="D99" s="5">
        <v>8</v>
      </c>
      <c r="E99" s="5" t="s">
        <v>268</v>
      </c>
      <c r="F99" s="131" t="s">
        <v>396</v>
      </c>
      <c r="G99" s="5">
        <v>0</v>
      </c>
      <c r="H99" s="23">
        <v>0</v>
      </c>
      <c r="I99" s="15"/>
      <c r="J99" s="5" t="s">
        <v>68</v>
      </c>
      <c r="K99" s="5" t="s">
        <v>788</v>
      </c>
      <c r="L99" s="5" t="s">
        <v>477</v>
      </c>
      <c r="M99" s="3">
        <f ca="1">IF($B99="N/A", "N/A", VLOOKUP($B99, INDIRECT(Config!$B$1), HLOOKUP(M$1, INDIRECT(Config!$E$1), 2, FALSE),FALSE))</f>
        <v>0</v>
      </c>
      <c r="N99" s="3">
        <f ca="1">IF($B99="N/A", "N/A", VLOOKUP($B99, INDIRECT(Config!$B$1), HLOOKUP(N$1, INDIRECT(Config!$E$1), 2, FALSE),FALSE))</f>
        <v>0</v>
      </c>
      <c r="O99" s="3">
        <f ca="1">IF($B99="N/A", "N/A", VLOOKUP($B99, INDIRECT(Config!$B$1), HLOOKUP(O$1, INDIRECT(Config!$E$1), 2, FALSE),FALSE))</f>
        <v>0</v>
      </c>
    </row>
    <row r="100" spans="1:15" x14ac:dyDescent="0.35">
      <c r="A100" s="175"/>
      <c r="B100" s="7" t="s">
        <v>221</v>
      </c>
      <c r="C100" s="7">
        <v>24</v>
      </c>
      <c r="D100" s="7">
        <v>8</v>
      </c>
      <c r="E100" s="7" t="s">
        <v>269</v>
      </c>
      <c r="F100" s="131" t="s">
        <v>396</v>
      </c>
      <c r="G100" s="7">
        <v>0</v>
      </c>
      <c r="H100" s="21">
        <v>0</v>
      </c>
      <c r="I100" s="3"/>
      <c r="J100" s="7" t="s">
        <v>68</v>
      </c>
      <c r="K100" s="7" t="s">
        <v>788</v>
      </c>
      <c r="L100" s="7" t="s">
        <v>478</v>
      </c>
      <c r="M100" s="3">
        <f ca="1">IF($B100="N/A", "N/A", VLOOKUP($B100, INDIRECT(Config!$B$1), HLOOKUP(M$1, INDIRECT(Config!$E$1), 2, FALSE),FALSE))</f>
        <v>0</v>
      </c>
      <c r="N100" s="3">
        <f ca="1">IF($B100="N/A", "N/A", VLOOKUP($B100, INDIRECT(Config!$B$1), HLOOKUP(N$1, INDIRECT(Config!$E$1), 2, FALSE),FALSE))</f>
        <v>0</v>
      </c>
      <c r="O100" s="3">
        <f ca="1">IF($B100="N/A", "N/A", VLOOKUP($B100, INDIRECT(Config!$B$1), HLOOKUP(O$1, INDIRECT(Config!$E$1), 2, FALSE),FALSE))</f>
        <v>0</v>
      </c>
    </row>
    <row r="101" spans="1:15" x14ac:dyDescent="0.35">
      <c r="A101" s="176" t="s">
        <v>40</v>
      </c>
      <c r="B101" s="4" t="s">
        <v>626</v>
      </c>
      <c r="C101" s="7">
        <v>0</v>
      </c>
      <c r="D101" s="7">
        <v>16</v>
      </c>
      <c r="E101" s="7" t="s">
        <v>270</v>
      </c>
      <c r="F101" s="188"/>
      <c r="G101" s="2">
        <v>0</v>
      </c>
      <c r="H101" s="19">
        <v>0</v>
      </c>
      <c r="I101" s="147" t="s">
        <v>18</v>
      </c>
      <c r="J101" s="7" t="s">
        <v>68</v>
      </c>
      <c r="K101" s="7" t="s">
        <v>780</v>
      </c>
      <c r="L101" s="7" t="s">
        <v>484</v>
      </c>
      <c r="M101" s="4">
        <f t="shared" ref="M101:O104" si="6">IF($B101="N/A", "N/A", 1)</f>
        <v>1</v>
      </c>
      <c r="N101" s="4">
        <f t="shared" si="6"/>
        <v>1</v>
      </c>
      <c r="O101" s="4">
        <f t="shared" si="6"/>
        <v>1</v>
      </c>
    </row>
    <row r="102" spans="1:15" x14ac:dyDescent="0.35">
      <c r="A102" s="187"/>
      <c r="B102" s="4" t="s">
        <v>626</v>
      </c>
      <c r="C102" s="7">
        <v>16</v>
      </c>
      <c r="D102" s="7">
        <v>8</v>
      </c>
      <c r="E102" s="7" t="s">
        <v>271</v>
      </c>
      <c r="F102" s="189"/>
      <c r="G102" s="2">
        <v>0</v>
      </c>
      <c r="H102" s="19">
        <v>0</v>
      </c>
      <c r="I102" s="147" t="s">
        <v>18</v>
      </c>
      <c r="J102" s="7" t="s">
        <v>68</v>
      </c>
      <c r="K102" s="7" t="s">
        <v>781</v>
      </c>
      <c r="L102" s="7" t="s">
        <v>485</v>
      </c>
      <c r="M102" s="4">
        <f t="shared" si="6"/>
        <v>1</v>
      </c>
      <c r="N102" s="4">
        <f t="shared" si="6"/>
        <v>1</v>
      </c>
      <c r="O102" s="4">
        <f t="shared" si="6"/>
        <v>1</v>
      </c>
    </row>
    <row r="103" spans="1:15" x14ac:dyDescent="0.35">
      <c r="A103" s="187"/>
      <c r="B103" s="4" t="s">
        <v>626</v>
      </c>
      <c r="C103" s="7">
        <v>24</v>
      </c>
      <c r="D103" s="7">
        <v>4</v>
      </c>
      <c r="E103" s="7" t="s">
        <v>272</v>
      </c>
      <c r="F103" s="189"/>
      <c r="G103" s="2">
        <v>0</v>
      </c>
      <c r="H103" s="19">
        <f>10</f>
        <v>10</v>
      </c>
      <c r="I103" s="147" t="s">
        <v>18</v>
      </c>
      <c r="J103" s="7" t="s">
        <v>68</v>
      </c>
      <c r="K103" s="7" t="s">
        <v>782</v>
      </c>
      <c r="L103" s="7" t="s">
        <v>486</v>
      </c>
      <c r="M103" s="4">
        <f t="shared" si="6"/>
        <v>1</v>
      </c>
      <c r="N103" s="4">
        <f t="shared" si="6"/>
        <v>1</v>
      </c>
      <c r="O103" s="4">
        <f t="shared" si="6"/>
        <v>1</v>
      </c>
    </row>
    <row r="104" spans="1:15" x14ac:dyDescent="0.35">
      <c r="A104" s="175"/>
      <c r="B104" s="4" t="s">
        <v>626</v>
      </c>
      <c r="C104" s="7">
        <v>28</v>
      </c>
      <c r="D104" s="7">
        <v>4</v>
      </c>
      <c r="E104" s="7" t="s">
        <v>273</v>
      </c>
      <c r="F104" s="190"/>
      <c r="G104" s="2">
        <v>0</v>
      </c>
      <c r="H104" s="19">
        <v>0</v>
      </c>
      <c r="I104" s="147" t="s">
        <v>18</v>
      </c>
      <c r="J104" s="7" t="s">
        <v>68</v>
      </c>
      <c r="K104" s="7" t="s">
        <v>783</v>
      </c>
      <c r="L104" s="7" t="s">
        <v>485</v>
      </c>
      <c r="M104" s="4">
        <f t="shared" si="6"/>
        <v>1</v>
      </c>
      <c r="N104" s="4">
        <f t="shared" si="6"/>
        <v>1</v>
      </c>
      <c r="O104" s="4">
        <f t="shared" si="6"/>
        <v>1</v>
      </c>
    </row>
    <row r="105" spans="1:15" x14ac:dyDescent="0.35">
      <c r="A105" s="176" t="s">
        <v>54</v>
      </c>
      <c r="B105" s="17" t="s">
        <v>261</v>
      </c>
      <c r="C105" s="17">
        <v>0</v>
      </c>
      <c r="D105" s="17">
        <v>1</v>
      </c>
      <c r="E105" s="17" t="s">
        <v>560</v>
      </c>
      <c r="F105" s="131" t="s">
        <v>396</v>
      </c>
      <c r="G105" s="17">
        <v>0</v>
      </c>
      <c r="H105" s="17">
        <v>0</v>
      </c>
      <c r="I105" s="3" t="s">
        <v>18</v>
      </c>
      <c r="J105" s="7" t="s">
        <v>68</v>
      </c>
      <c r="K105" s="7" t="s">
        <v>769</v>
      </c>
      <c r="L105" s="7" t="s">
        <v>547</v>
      </c>
      <c r="M105" s="3">
        <f ca="1">IF($B105="N/A", "N/A", VLOOKUP($B105, INDIRECT(Config!$B$1), HLOOKUP(M$1, INDIRECT(Config!$E$1), 2, FALSE),FALSE))</f>
        <v>1</v>
      </c>
      <c r="N105" s="3">
        <f ca="1">IF($B105="N/A", "N/A", VLOOKUP($B105, INDIRECT(Config!$B$1), HLOOKUP(N$1, INDIRECT(Config!$E$1), 2, FALSE),FALSE))</f>
        <v>1</v>
      </c>
      <c r="O105" s="3">
        <f ca="1">IF($B105="N/A", "N/A", VLOOKUP($B105, INDIRECT(Config!$B$1), HLOOKUP(O$1, INDIRECT(Config!$E$1), 2, FALSE),FALSE))</f>
        <v>0</v>
      </c>
    </row>
    <row r="106" spans="1:15" s="16" customFormat="1" x14ac:dyDescent="0.35">
      <c r="A106" s="187"/>
      <c r="B106" s="17" t="s">
        <v>261</v>
      </c>
      <c r="C106" s="17">
        <v>1</v>
      </c>
      <c r="D106" s="17">
        <v>1</v>
      </c>
      <c r="E106" s="17" t="s">
        <v>561</v>
      </c>
      <c r="F106" s="131" t="s">
        <v>396</v>
      </c>
      <c r="G106" s="17">
        <v>0</v>
      </c>
      <c r="H106" s="17">
        <v>0</v>
      </c>
      <c r="I106" s="3" t="s">
        <v>18</v>
      </c>
      <c r="J106" s="7" t="s">
        <v>68</v>
      </c>
      <c r="K106" s="7" t="s">
        <v>770</v>
      </c>
      <c r="L106" s="7" t="s">
        <v>548</v>
      </c>
      <c r="M106" s="3">
        <f ca="1">IF($B106="N/A", "N/A", VLOOKUP($B106, INDIRECT(Config!$B$1), HLOOKUP(M$1, INDIRECT(Config!$E$1), 2, FALSE),FALSE))</f>
        <v>1</v>
      </c>
      <c r="N106" s="3">
        <f ca="1">IF($B106="N/A", "N/A", VLOOKUP($B106, INDIRECT(Config!$B$1), HLOOKUP(N$1, INDIRECT(Config!$E$1), 2, FALSE),FALSE))</f>
        <v>1</v>
      </c>
      <c r="O106" s="3">
        <f ca="1">IF($B106="N/A", "N/A", VLOOKUP($B106, INDIRECT(Config!$B$1), HLOOKUP(O$1, INDIRECT(Config!$E$1), 2, FALSE),FALSE))</f>
        <v>0</v>
      </c>
    </row>
    <row r="107" spans="1:15" s="16" customFormat="1" x14ac:dyDescent="0.35">
      <c r="A107" s="175"/>
      <c r="B107" s="17" t="s">
        <v>261</v>
      </c>
      <c r="C107" s="17">
        <v>2</v>
      </c>
      <c r="D107" s="17">
        <v>30</v>
      </c>
      <c r="E107" s="17" t="s">
        <v>680</v>
      </c>
      <c r="F107" s="131" t="s">
        <v>396</v>
      </c>
      <c r="G107" s="17">
        <v>0</v>
      </c>
      <c r="H107" s="17">
        <v>0</v>
      </c>
      <c r="I107" s="3" t="s">
        <v>18</v>
      </c>
      <c r="J107" s="7" t="s">
        <v>68</v>
      </c>
      <c r="K107" s="7" t="s">
        <v>771</v>
      </c>
      <c r="L107" s="7" t="s">
        <v>548</v>
      </c>
      <c r="M107" s="3">
        <f ca="1">IF($B107="N/A", "N/A", VLOOKUP($B107, INDIRECT(Config!$B$1), HLOOKUP(M$1, INDIRECT(Config!$E$1), 2, FALSE),FALSE))</f>
        <v>1</v>
      </c>
      <c r="N107" s="3">
        <f ca="1">IF($B107="N/A", "N/A", VLOOKUP($B107, INDIRECT(Config!$B$1), HLOOKUP(N$1, INDIRECT(Config!$E$1), 2, FALSE),FALSE))</f>
        <v>1</v>
      </c>
      <c r="O107" s="3">
        <f ca="1">IF($B107="N/A", "N/A", VLOOKUP($B107, INDIRECT(Config!$B$1), HLOOKUP(O$1, INDIRECT(Config!$E$1), 2, FALSE),FALSE))</f>
        <v>0</v>
      </c>
    </row>
    <row r="108" spans="1:15" s="16" customFormat="1" x14ac:dyDescent="0.35">
      <c r="A108" s="176" t="s">
        <v>365</v>
      </c>
      <c r="B108" s="17" t="s">
        <v>261</v>
      </c>
      <c r="C108" s="17">
        <v>0</v>
      </c>
      <c r="D108" s="17">
        <v>1</v>
      </c>
      <c r="E108" s="17" t="s">
        <v>562</v>
      </c>
      <c r="F108" s="131" t="s">
        <v>396</v>
      </c>
      <c r="G108" s="17">
        <v>0</v>
      </c>
      <c r="H108" s="17">
        <v>0</v>
      </c>
      <c r="I108" s="3" t="s">
        <v>18</v>
      </c>
      <c r="J108" s="7" t="s">
        <v>68</v>
      </c>
      <c r="K108" s="7" t="s">
        <v>772</v>
      </c>
      <c r="L108" s="7" t="s">
        <v>559</v>
      </c>
      <c r="M108" s="3">
        <f ca="1">IF($B108="N/A", "N/A", VLOOKUP($B108, INDIRECT(Config!$B$1), HLOOKUP(M$1, INDIRECT(Config!$E$1), 2, FALSE),FALSE))</f>
        <v>1</v>
      </c>
      <c r="N108" s="3">
        <f ca="1">IF($B108="N/A", "N/A", VLOOKUP($B108, INDIRECT(Config!$B$1), HLOOKUP(N$1, INDIRECT(Config!$E$1), 2, FALSE),FALSE))</f>
        <v>1</v>
      </c>
      <c r="O108" s="3">
        <f ca="1">IF($B108="N/A", "N/A", VLOOKUP($B108, INDIRECT(Config!$B$1), HLOOKUP(O$1, INDIRECT(Config!$E$1), 2, FALSE),FALSE))</f>
        <v>0</v>
      </c>
    </row>
    <row r="109" spans="1:15" x14ac:dyDescent="0.35">
      <c r="A109" s="175"/>
      <c r="B109" s="17" t="s">
        <v>261</v>
      </c>
      <c r="C109" s="17">
        <v>1</v>
      </c>
      <c r="D109" s="17">
        <v>31</v>
      </c>
      <c r="E109" s="17" t="s">
        <v>679</v>
      </c>
      <c r="F109" s="131" t="s">
        <v>396</v>
      </c>
      <c r="G109" s="17">
        <v>0</v>
      </c>
      <c r="H109" s="17">
        <v>0</v>
      </c>
      <c r="I109" s="3" t="s">
        <v>18</v>
      </c>
      <c r="J109" s="7" t="s">
        <v>68</v>
      </c>
      <c r="K109" s="7" t="s">
        <v>773</v>
      </c>
      <c r="L109" s="7" t="s">
        <v>559</v>
      </c>
      <c r="M109" s="3">
        <f ca="1">IF($B109="N/A", "N/A", VLOOKUP($B109, INDIRECT(Config!$B$1), HLOOKUP(M$1, INDIRECT(Config!$E$1), 2, FALSE),FALSE))</f>
        <v>1</v>
      </c>
      <c r="N109" s="3">
        <f ca="1">IF($B109="N/A", "N/A", VLOOKUP($B109, INDIRECT(Config!$B$1), HLOOKUP(N$1, INDIRECT(Config!$E$1), 2, FALSE),FALSE))</f>
        <v>1</v>
      </c>
      <c r="O109" s="3">
        <f ca="1">IF($B109="N/A", "N/A", VLOOKUP($B109, INDIRECT(Config!$B$1), HLOOKUP(O$1, INDIRECT(Config!$E$1), 2, FALSE),FALSE))</f>
        <v>0</v>
      </c>
    </row>
    <row r="110" spans="1:15" x14ac:dyDescent="0.35">
      <c r="A110" s="176" t="s">
        <v>366</v>
      </c>
      <c r="B110" s="17" t="s">
        <v>367</v>
      </c>
      <c r="C110" s="17">
        <v>0</v>
      </c>
      <c r="D110" s="17">
        <v>1</v>
      </c>
      <c r="E110" s="17" t="s">
        <v>560</v>
      </c>
      <c r="F110" s="131" t="s">
        <v>396</v>
      </c>
      <c r="G110" s="17">
        <v>0</v>
      </c>
      <c r="H110" s="17">
        <v>0</v>
      </c>
      <c r="I110" s="3" t="s">
        <v>18</v>
      </c>
      <c r="J110" s="7" t="s">
        <v>68</v>
      </c>
      <c r="K110" s="7" t="s">
        <v>774</v>
      </c>
      <c r="L110" s="7" t="s">
        <v>547</v>
      </c>
      <c r="M110" s="3">
        <f ca="1">IF(VLOOKUP("PARAM_INT_IFP_TRIPLE_RDD_DIS", INDIRECT(Config!$B$1), HLOOKUP(M$1, INDIRECT(Config!$E$1), 2, FALSE),FALSE)=0, VLOOKUP("TRC_PRESENT", INDIRECT(Config!$B$1), HLOOKUP(M$1, INDIRECT(Config!$E$1), 2, FALSE),FALSE), 0)</f>
        <v>0</v>
      </c>
      <c r="N110" s="3">
        <f ca="1">IF(VLOOKUP("PARAM_INT_IFP_TRIPLE_RDD_DIS", INDIRECT(Config!$B$1), HLOOKUP(N$1, INDIRECT(Config!$E$1), 2, FALSE),FALSE)=0, VLOOKUP("TRC_PRESENT", INDIRECT(Config!$B$1), HLOOKUP(N$1, INDIRECT(Config!$E$1), 2, FALSE),FALSE), 0)</f>
        <v>0</v>
      </c>
      <c r="O110" s="3">
        <f ca="1">IF(VLOOKUP("PARAM_INT_IFP_TRIPLE_RDD_DIS", INDIRECT(Config!$B$1), HLOOKUP(O$1, INDIRECT(Config!$E$1), 2, FALSE),FALSE)=0, VLOOKUP("TRC_PRESENT", INDIRECT(Config!$B$1), HLOOKUP(O$1, INDIRECT(Config!$E$1), 2, FALSE),FALSE), 0)</f>
        <v>0</v>
      </c>
    </row>
    <row r="111" spans="1:15" s="16" customFormat="1" x14ac:dyDescent="0.35">
      <c r="A111" s="187"/>
      <c r="B111" s="17" t="s">
        <v>367</v>
      </c>
      <c r="C111" s="17">
        <v>1</v>
      </c>
      <c r="D111" s="17">
        <v>1</v>
      </c>
      <c r="E111" s="17" t="s">
        <v>561</v>
      </c>
      <c r="F111" s="131" t="s">
        <v>396</v>
      </c>
      <c r="G111" s="17">
        <v>0</v>
      </c>
      <c r="H111" s="17">
        <v>0</v>
      </c>
      <c r="I111" s="3" t="s">
        <v>18</v>
      </c>
      <c r="J111" s="7" t="s">
        <v>68</v>
      </c>
      <c r="K111" s="7" t="s">
        <v>775</v>
      </c>
      <c r="L111" s="7" t="s">
        <v>548</v>
      </c>
      <c r="M111" s="3">
        <f ca="1">IF(VLOOKUP("PARAM_INT_IFP_TRIPLE_RDD_DIS", INDIRECT(Config!$B$1), HLOOKUP(M$1, INDIRECT(Config!$E$1), 2, FALSE),FALSE)=0, VLOOKUP("TRC_PRESENT", INDIRECT(Config!$B$1), HLOOKUP(M$1, INDIRECT(Config!$E$1), 2, FALSE),FALSE), 0)</f>
        <v>0</v>
      </c>
      <c r="N111" s="3">
        <f ca="1">IF(VLOOKUP("PARAM_INT_IFP_TRIPLE_RDD_DIS", INDIRECT(Config!$B$1), HLOOKUP(N$1, INDIRECT(Config!$E$1), 2, FALSE),FALSE)=0, VLOOKUP("TRC_PRESENT", INDIRECT(Config!$B$1), HLOOKUP(N$1, INDIRECT(Config!$E$1), 2, FALSE),FALSE), 0)</f>
        <v>0</v>
      </c>
      <c r="O111" s="3">
        <f ca="1">IF(VLOOKUP("PARAM_INT_IFP_TRIPLE_RDD_DIS", INDIRECT(Config!$B$1), HLOOKUP(O$1, INDIRECT(Config!$E$1), 2, FALSE),FALSE)=0, VLOOKUP("TRC_PRESENT", INDIRECT(Config!$B$1), HLOOKUP(O$1, INDIRECT(Config!$E$1), 2, FALSE),FALSE), 0)</f>
        <v>0</v>
      </c>
    </row>
    <row r="112" spans="1:15" s="16" customFormat="1" x14ac:dyDescent="0.35">
      <c r="A112" s="175"/>
      <c r="B112" s="17" t="s">
        <v>367</v>
      </c>
      <c r="C112" s="17">
        <v>2</v>
      </c>
      <c r="D112" s="17">
        <v>30</v>
      </c>
      <c r="E112" s="17" t="s">
        <v>680</v>
      </c>
      <c r="F112" s="131" t="s">
        <v>396</v>
      </c>
      <c r="G112" s="17">
        <v>0</v>
      </c>
      <c r="H112" s="17">
        <v>0</v>
      </c>
      <c r="I112" s="3" t="s">
        <v>18</v>
      </c>
      <c r="J112" s="7" t="s">
        <v>68</v>
      </c>
      <c r="K112" s="7" t="s">
        <v>771</v>
      </c>
      <c r="L112" s="7" t="s">
        <v>548</v>
      </c>
      <c r="M112" s="3">
        <f ca="1">IF(VLOOKUP("PARAM_INT_IFP_TRIPLE_RDD_DIS", INDIRECT(Config!$B$1), HLOOKUP(M$1, INDIRECT(Config!$E$1), 2, FALSE),FALSE)=0, VLOOKUP("TRC_PRESENT", INDIRECT(Config!$B$1), HLOOKUP(M$1, INDIRECT(Config!$E$1), 2, FALSE),FALSE), 0)</f>
        <v>0</v>
      </c>
      <c r="N112" s="3">
        <f ca="1">IF(VLOOKUP("PARAM_INT_IFP_TRIPLE_RDD_DIS", INDIRECT(Config!$B$1), HLOOKUP(N$1, INDIRECT(Config!$E$1), 2, FALSE),FALSE)=0, VLOOKUP("TRC_PRESENT", INDIRECT(Config!$B$1), HLOOKUP(N$1, INDIRECT(Config!$E$1), 2, FALSE),FALSE), 0)</f>
        <v>0</v>
      </c>
      <c r="O112" s="3">
        <f ca="1">IF(VLOOKUP("PARAM_INT_IFP_TRIPLE_RDD_DIS", INDIRECT(Config!$B$1), HLOOKUP(O$1, INDIRECT(Config!$E$1), 2, FALSE),FALSE)=0, VLOOKUP("TRC_PRESENT", INDIRECT(Config!$B$1), HLOOKUP(O$1, INDIRECT(Config!$E$1), 2, FALSE),FALSE), 0)</f>
        <v>0</v>
      </c>
    </row>
    <row r="113" spans="1:15" s="16" customFormat="1" x14ac:dyDescent="0.35">
      <c r="A113" s="176" t="s">
        <v>368</v>
      </c>
      <c r="B113" s="17" t="s">
        <v>367</v>
      </c>
      <c r="C113" s="17">
        <v>0</v>
      </c>
      <c r="D113" s="17">
        <v>1</v>
      </c>
      <c r="E113" s="17" t="s">
        <v>562</v>
      </c>
      <c r="F113" s="131" t="s">
        <v>396</v>
      </c>
      <c r="G113" s="17">
        <v>0</v>
      </c>
      <c r="H113" s="17">
        <v>0</v>
      </c>
      <c r="I113" s="3" t="s">
        <v>18</v>
      </c>
      <c r="J113" s="7" t="s">
        <v>68</v>
      </c>
      <c r="K113" s="7" t="s">
        <v>776</v>
      </c>
      <c r="L113" s="7" t="s">
        <v>559</v>
      </c>
      <c r="M113" s="3">
        <f ca="1">IF(VLOOKUP("PARAM_INT_IFP_TRIPLE_RDD_DIS", INDIRECT(Config!$B$1), HLOOKUP(M$1, INDIRECT(Config!$E$1), 2, FALSE),FALSE)=0, VLOOKUP("TRC_PRESENT", INDIRECT(Config!$B$1), HLOOKUP(M$1, INDIRECT(Config!$E$1), 2, FALSE),FALSE), 0)</f>
        <v>0</v>
      </c>
      <c r="N113" s="3">
        <f ca="1">IF(VLOOKUP("PARAM_INT_IFP_TRIPLE_RDD_DIS", INDIRECT(Config!$B$1), HLOOKUP(N$1, INDIRECT(Config!$E$1), 2, FALSE),FALSE)=0, VLOOKUP("TRC_PRESENT", INDIRECT(Config!$B$1), HLOOKUP(N$1, INDIRECT(Config!$E$1), 2, FALSE),FALSE), 0)</f>
        <v>0</v>
      </c>
      <c r="O113" s="3">
        <f ca="1">IF(VLOOKUP("PARAM_INT_IFP_TRIPLE_RDD_DIS", INDIRECT(Config!$B$1), HLOOKUP(O$1, INDIRECT(Config!$E$1), 2, FALSE),FALSE)=0, VLOOKUP("TRC_PRESENT", INDIRECT(Config!$B$1), HLOOKUP(O$1, INDIRECT(Config!$E$1), 2, FALSE),FALSE), 0)</f>
        <v>0</v>
      </c>
    </row>
    <row r="114" spans="1:15" x14ac:dyDescent="0.35">
      <c r="A114" s="175"/>
      <c r="B114" s="17" t="s">
        <v>367</v>
      </c>
      <c r="C114" s="17">
        <v>1</v>
      </c>
      <c r="D114" s="17">
        <v>31</v>
      </c>
      <c r="E114" s="17" t="s">
        <v>679</v>
      </c>
      <c r="F114" s="131" t="s">
        <v>396</v>
      </c>
      <c r="G114" s="17">
        <v>0</v>
      </c>
      <c r="H114" s="17">
        <v>0</v>
      </c>
      <c r="I114" s="3" t="s">
        <v>18</v>
      </c>
      <c r="J114" s="7" t="s">
        <v>68</v>
      </c>
      <c r="K114" s="7" t="s">
        <v>773</v>
      </c>
      <c r="L114" s="7" t="s">
        <v>559</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c r="O114" s="3">
        <f ca="1">IF(VLOOKUP("PARAM_INT_IFP_TRIPLE_RDD_DIS", INDIRECT(Config!$B$1), HLOOKUP(O$1, INDIRECT(Config!$E$1), 2, FALSE),FALSE)=0, VLOOKUP("TRC_PRESENT", INDIRECT(Config!$B$1), HLOOKUP(O$1, INDIRECT(Config!$E$1), 2, FALSE),FALSE), 0)</f>
        <v>0</v>
      </c>
    </row>
    <row r="115" spans="1:15" x14ac:dyDescent="0.35">
      <c r="A115" s="176" t="s">
        <v>369</v>
      </c>
      <c r="B115" s="17" t="s">
        <v>367</v>
      </c>
      <c r="C115" s="17">
        <v>0</v>
      </c>
      <c r="D115" s="17">
        <v>1</v>
      </c>
      <c r="E115" s="17" t="s">
        <v>560</v>
      </c>
      <c r="F115" s="131" t="s">
        <v>396</v>
      </c>
      <c r="G115" s="17">
        <v>0</v>
      </c>
      <c r="H115" s="17">
        <v>0</v>
      </c>
      <c r="I115" s="3" t="s">
        <v>18</v>
      </c>
      <c r="J115" s="7" t="s">
        <v>68</v>
      </c>
      <c r="K115" s="7" t="s">
        <v>777</v>
      </c>
      <c r="L115" s="7" t="s">
        <v>547</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c r="O115" s="3">
        <f ca="1">IF(VLOOKUP("PARAM_INT_IFP_TRIPLE_RDD_DIS", INDIRECT(Config!$B$1), HLOOKUP(O$1, INDIRECT(Config!$E$1), 2, FALSE),FALSE)=0, VLOOKUP("TRC_PRESENT", INDIRECT(Config!$B$1), HLOOKUP(O$1, INDIRECT(Config!$E$1), 2, FALSE),FALSE), 0)</f>
        <v>0</v>
      </c>
    </row>
    <row r="116" spans="1:15" s="16" customFormat="1" x14ac:dyDescent="0.35">
      <c r="A116" s="187"/>
      <c r="B116" s="17" t="s">
        <v>367</v>
      </c>
      <c r="C116" s="17">
        <v>1</v>
      </c>
      <c r="D116" s="17">
        <v>1</v>
      </c>
      <c r="E116" s="17" t="s">
        <v>561</v>
      </c>
      <c r="F116" s="131" t="s">
        <v>396</v>
      </c>
      <c r="G116" s="17">
        <v>0</v>
      </c>
      <c r="H116" s="17">
        <v>0</v>
      </c>
      <c r="I116" s="3" t="s">
        <v>18</v>
      </c>
      <c r="J116" s="7" t="s">
        <v>68</v>
      </c>
      <c r="K116" s="7" t="s">
        <v>778</v>
      </c>
      <c r="L116" s="7" t="s">
        <v>548</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c r="O116" s="3">
        <f ca="1">IF(VLOOKUP("PARAM_INT_IFP_TRIPLE_RDD_DIS", INDIRECT(Config!$B$1), HLOOKUP(O$1, INDIRECT(Config!$E$1), 2, FALSE),FALSE)=0, VLOOKUP("TRC_PRESENT", INDIRECT(Config!$B$1), HLOOKUP(O$1, INDIRECT(Config!$E$1), 2, FALSE),FALSE), 0)</f>
        <v>0</v>
      </c>
    </row>
    <row r="117" spans="1:15" s="16" customFormat="1" x14ac:dyDescent="0.35">
      <c r="A117" s="175"/>
      <c r="B117" s="17" t="s">
        <v>367</v>
      </c>
      <c r="C117" s="17">
        <v>2</v>
      </c>
      <c r="D117" s="17">
        <v>30</v>
      </c>
      <c r="E117" s="17" t="s">
        <v>680</v>
      </c>
      <c r="F117" s="131" t="s">
        <v>396</v>
      </c>
      <c r="G117" s="17">
        <v>0</v>
      </c>
      <c r="H117" s="17">
        <v>0</v>
      </c>
      <c r="I117" s="3" t="s">
        <v>18</v>
      </c>
      <c r="J117" s="7" t="s">
        <v>68</v>
      </c>
      <c r="K117" s="7" t="s">
        <v>771</v>
      </c>
      <c r="L117" s="7" t="s">
        <v>548</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c r="O117" s="3">
        <f ca="1">IF(VLOOKUP("PARAM_INT_IFP_TRIPLE_RDD_DIS", INDIRECT(Config!$B$1), HLOOKUP(O$1, INDIRECT(Config!$E$1), 2, FALSE),FALSE)=0, VLOOKUP("TRC_PRESENT", INDIRECT(Config!$B$1), HLOOKUP(O$1, INDIRECT(Config!$E$1), 2, FALSE),FALSE), 0)</f>
        <v>0</v>
      </c>
    </row>
    <row r="118" spans="1:15" s="16" customFormat="1" x14ac:dyDescent="0.35">
      <c r="A118" s="176" t="s">
        <v>370</v>
      </c>
      <c r="B118" s="17" t="s">
        <v>367</v>
      </c>
      <c r="C118" s="17">
        <v>0</v>
      </c>
      <c r="D118" s="17">
        <v>1</v>
      </c>
      <c r="E118" s="17" t="s">
        <v>562</v>
      </c>
      <c r="F118" s="131" t="s">
        <v>396</v>
      </c>
      <c r="G118" s="17">
        <v>0</v>
      </c>
      <c r="H118" s="17">
        <v>0</v>
      </c>
      <c r="I118" s="3" t="s">
        <v>18</v>
      </c>
      <c r="J118" s="7" t="s">
        <v>68</v>
      </c>
      <c r="K118" s="7" t="s">
        <v>779</v>
      </c>
      <c r="L118" s="7" t="s">
        <v>559</v>
      </c>
      <c r="M118" s="3">
        <f ca="1">IF(VLOOKUP("PARAM_INT_IFP_TRIPLE_RDD_DIS", INDIRECT(Config!$B$1), HLOOKUP(M$1, INDIRECT(Config!$E$1), 2, FALSE),FALSE)=0, VLOOKUP("TRC_PRESENT", INDIRECT(Config!$B$1), HLOOKUP(M$1, INDIRECT(Config!$E$1), 2, FALSE),FALSE), 0)</f>
        <v>0</v>
      </c>
      <c r="N118" s="3">
        <f ca="1">IF(VLOOKUP("PARAM_INT_IFP_TRIPLE_RDD_DIS", INDIRECT(Config!$B$1), HLOOKUP(N$1, INDIRECT(Config!$E$1), 2, FALSE),FALSE)=0, VLOOKUP("TRC_PRESENT", INDIRECT(Config!$B$1), HLOOKUP(N$1, INDIRECT(Config!$E$1), 2, FALSE),FALSE), 0)</f>
        <v>0</v>
      </c>
      <c r="O118" s="3">
        <f ca="1">IF(VLOOKUP("PARAM_INT_IFP_TRIPLE_RDD_DIS", INDIRECT(Config!$B$1), HLOOKUP(O$1, INDIRECT(Config!$E$1), 2, FALSE),FALSE)=0, VLOOKUP("TRC_PRESENT", INDIRECT(Config!$B$1), HLOOKUP(O$1, INDIRECT(Config!$E$1), 2, FALSE),FALSE), 0)</f>
        <v>0</v>
      </c>
    </row>
    <row r="119" spans="1:15" x14ac:dyDescent="0.35">
      <c r="A119" s="175"/>
      <c r="B119" s="17" t="s">
        <v>367</v>
      </c>
      <c r="C119" s="17">
        <v>1</v>
      </c>
      <c r="D119" s="17">
        <v>31</v>
      </c>
      <c r="E119" s="17" t="s">
        <v>679</v>
      </c>
      <c r="F119" s="131" t="s">
        <v>396</v>
      </c>
      <c r="G119" s="17">
        <v>0</v>
      </c>
      <c r="H119" s="17">
        <v>0</v>
      </c>
      <c r="I119" s="3" t="s">
        <v>18</v>
      </c>
      <c r="J119" s="7" t="s">
        <v>68</v>
      </c>
      <c r="K119" s="7" t="s">
        <v>773</v>
      </c>
      <c r="L119" s="7" t="s">
        <v>559</v>
      </c>
      <c r="M119" s="3">
        <f ca="1">IF(VLOOKUP("PARAM_INT_IFP_TRIPLE_RDD_DIS", INDIRECT(Config!$B$1), HLOOKUP(M$1, INDIRECT(Config!$E$1), 2, FALSE),FALSE)=0, VLOOKUP("TRC_PRESENT", INDIRECT(Config!$B$1), HLOOKUP(M$1, INDIRECT(Config!$E$1), 2, FALSE),FALSE), 0)</f>
        <v>0</v>
      </c>
      <c r="N119" s="3">
        <f ca="1">IF(VLOOKUP("PARAM_INT_IFP_TRIPLE_RDD_DIS", INDIRECT(Config!$B$1), HLOOKUP(N$1, INDIRECT(Config!$E$1), 2, FALSE),FALSE)=0, VLOOKUP("TRC_PRESENT", INDIRECT(Config!$B$1), HLOOKUP(N$1, INDIRECT(Config!$E$1), 2, FALSE),FALSE), 0)</f>
        <v>0</v>
      </c>
      <c r="O119" s="3">
        <f ca="1">IF(VLOOKUP("PARAM_INT_IFP_TRIPLE_RDD_DIS", INDIRECT(Config!$B$1), HLOOKUP(O$1, INDIRECT(Config!$E$1), 2, FALSE),FALSE)=0, VLOOKUP("TRC_PRESENT", INDIRECT(Config!$B$1), HLOOKUP(O$1, INDIRECT(Config!$E$1), 2, FALSE),FALSE), 0)</f>
        <v>0</v>
      </c>
    </row>
    <row r="120" spans="1:15" x14ac:dyDescent="0.35">
      <c r="A120" s="17" t="s">
        <v>371</v>
      </c>
      <c r="B120" s="17" t="s">
        <v>372</v>
      </c>
      <c r="C120" s="17">
        <v>0</v>
      </c>
      <c r="D120" s="17">
        <f>32*8</f>
        <v>256</v>
      </c>
      <c r="E120" s="17" t="s">
        <v>373</v>
      </c>
      <c r="F120" s="131" t="s">
        <v>396</v>
      </c>
      <c r="G120" s="17">
        <v>0</v>
      </c>
      <c r="H120" s="17">
        <v>0</v>
      </c>
      <c r="I120" s="17" t="s">
        <v>564</v>
      </c>
      <c r="J120" s="17" t="s">
        <v>131</v>
      </c>
      <c r="K120" s="17" t="s">
        <v>808</v>
      </c>
      <c r="L120" s="17" t="s">
        <v>563</v>
      </c>
      <c r="M120" s="3">
        <f ca="1">IF($B120="N/A", "N/A", VLOOKUP($B120, INDIRECT(Config!$B$1), HLOOKUP(M$1, INDIRECT(Config!$E$1), 2, FALSE),FALSE))</f>
        <v>0</v>
      </c>
      <c r="N120" s="3">
        <f ca="1">IF($B120="N/A", "N/A", VLOOKUP($B120, INDIRECT(Config!$B$1), HLOOKUP(N$1, INDIRECT(Config!$E$1), 2, FALSE),FALSE))</f>
        <v>0</v>
      </c>
      <c r="O120" s="3">
        <f ca="1">IF($B120="N/A", "N/A", VLOOKUP($B120, INDIRECT(Config!$B$1), HLOOKUP(O$1, INDIRECT(Config!$E$1), 2, FALSE),FALSE))</f>
        <v>0</v>
      </c>
    </row>
    <row r="121" spans="1:15" x14ac:dyDescent="0.35">
      <c r="A121" s="17" t="s">
        <v>374</v>
      </c>
      <c r="B121" s="17" t="s">
        <v>375</v>
      </c>
      <c r="C121" s="17">
        <v>0</v>
      </c>
      <c r="D121" s="17">
        <f>32*8</f>
        <v>256</v>
      </c>
      <c r="E121" s="17" t="s">
        <v>376</v>
      </c>
      <c r="F121" s="131" t="s">
        <v>396</v>
      </c>
      <c r="G121" s="17">
        <v>0</v>
      </c>
      <c r="H121" s="17">
        <v>0</v>
      </c>
      <c r="I121" s="17" t="s">
        <v>564</v>
      </c>
      <c r="J121" s="17" t="s">
        <v>131</v>
      </c>
      <c r="K121" s="17" t="s">
        <v>808</v>
      </c>
      <c r="L121" s="17" t="s">
        <v>563</v>
      </c>
      <c r="M121" s="3">
        <f ca="1">IF(VLOOKUP("PARAM_INT_IFP_TRIPLE_RDD_DIS", INDIRECT(Config!$B$1), HLOOKUP(M$1, INDIRECT(Config!$E$1), 2, FALSE),FALSE)=0, VLOOKUP("OEM_SECRET_KEY_FUSES_LIMIT", INDIRECT(Config!$B$1), HLOOKUP(M$1, INDIRECT(Config!$E$1), 2, FALSE),FALSE), 0)</f>
        <v>0</v>
      </c>
      <c r="N121" s="3">
        <f ca="1">IF(VLOOKUP("PARAM_INT_IFP_TRIPLE_RDD_DIS", INDIRECT(Config!$B$1), HLOOKUP(N$1, INDIRECT(Config!$E$1), 2, FALSE),FALSE)=0, VLOOKUP("OEM_SECRET_KEY_FUSES_LIMIT", INDIRECT(Config!$B$1), HLOOKUP(N$1, INDIRECT(Config!$E$1), 2, FALSE),FALSE), 0)</f>
        <v>0</v>
      </c>
      <c r="O121" s="3">
        <f ca="1">IF(VLOOKUP("PARAM_INT_IFP_TRIPLE_RDD_DIS", INDIRECT(Config!$B$1), HLOOKUP(O$1, INDIRECT(Config!$E$1), 2, FALSE),FALSE)=0, VLOOKUP("OEM_SECRET_KEY_FUSES_LIMIT", INDIRECT(Config!$B$1), HLOOKUP(O$1, INDIRECT(Config!$E$1), 2, FALSE),FALSE), 0)</f>
        <v>0</v>
      </c>
    </row>
    <row r="122" spans="1:15" x14ac:dyDescent="0.35">
      <c r="A122" s="17" t="s">
        <v>377</v>
      </c>
      <c r="B122" s="17" t="s">
        <v>375</v>
      </c>
      <c r="C122" s="17">
        <v>0</v>
      </c>
      <c r="D122" s="17">
        <f>32*8</f>
        <v>256</v>
      </c>
      <c r="E122" s="17" t="s">
        <v>378</v>
      </c>
      <c r="F122" s="131" t="s">
        <v>396</v>
      </c>
      <c r="G122" s="17">
        <v>0</v>
      </c>
      <c r="H122" s="17">
        <v>0</v>
      </c>
      <c r="I122" s="17" t="s">
        <v>564</v>
      </c>
      <c r="J122" s="17" t="s">
        <v>131</v>
      </c>
      <c r="K122" s="17" t="s">
        <v>808</v>
      </c>
      <c r="L122" s="17" t="s">
        <v>563</v>
      </c>
      <c r="M122" s="3">
        <f ca="1">IF(VLOOKUP("PARAM_INT_IFP_TRIPLE_RDD_DIS", INDIRECT(Config!$B$1), HLOOKUP(M$1, INDIRECT(Config!$E$1), 2, FALSE),FALSE)=0, VLOOKUP("OEM_SECRET_KEY_FUSES_LIMIT", INDIRECT(Config!$B$1), HLOOKUP(M$1, INDIRECT(Config!$E$1), 2, FALSE),FALSE), 0)</f>
        <v>0</v>
      </c>
      <c r="N122" s="3">
        <f ca="1">IF(VLOOKUP("PARAM_INT_IFP_TRIPLE_RDD_DIS", INDIRECT(Config!$B$1), HLOOKUP(N$1, INDIRECT(Config!$E$1), 2, FALSE),FALSE)=0, VLOOKUP("OEM_SECRET_KEY_FUSES_LIMIT", INDIRECT(Config!$B$1), HLOOKUP(N$1, INDIRECT(Config!$E$1), 2, FALSE),FALSE), 0)</f>
        <v>0</v>
      </c>
      <c r="O122" s="3">
        <f ca="1">IF(VLOOKUP("PARAM_INT_IFP_TRIPLE_RDD_DIS", INDIRECT(Config!$B$1), HLOOKUP(O$1, INDIRECT(Config!$E$1), 2, FALSE),FALSE)=0, VLOOKUP("OEM_SECRET_KEY_FUSES_LIMIT", INDIRECT(Config!$B$1), HLOOKUP(O$1, INDIRECT(Config!$E$1), 2, FALSE),FALSE), 0)</f>
        <v>0</v>
      </c>
    </row>
    <row r="125" spans="1:15" x14ac:dyDescent="0.35">
      <c r="I125" s="3" t="s">
        <v>18</v>
      </c>
    </row>
    <row r="126" spans="1:15" x14ac:dyDescent="0.35">
      <c r="I126" s="147" t="s">
        <v>18</v>
      </c>
    </row>
  </sheetData>
  <autoFilter ref="A1:O104" xr:uid="{BD3C40ED-A0C8-4381-ACF6-12E781319295}"/>
  <mergeCells count="15">
    <mergeCell ref="A2:A35"/>
    <mergeCell ref="A36:A57"/>
    <mergeCell ref="A58:A65"/>
    <mergeCell ref="A66:A86"/>
    <mergeCell ref="A87:A89"/>
    <mergeCell ref="A118:A119"/>
    <mergeCell ref="A113:A114"/>
    <mergeCell ref="A93:A96"/>
    <mergeCell ref="F101:F104"/>
    <mergeCell ref="A105:A107"/>
    <mergeCell ref="A110:A112"/>
    <mergeCell ref="A115:A117"/>
    <mergeCell ref="A97:A100"/>
    <mergeCell ref="A101:A104"/>
    <mergeCell ref="A108:A109"/>
  </mergeCells>
  <conditionalFormatting sqref="M117:O117 M119:O122 M2:O115">
    <cfRule type="cellIs" dxfId="41" priority="3" operator="equal">
      <formula>"N/A"</formula>
    </cfRule>
  </conditionalFormatting>
  <conditionalFormatting sqref="M116:O116">
    <cfRule type="cellIs" dxfId="40" priority="2" operator="equal">
      <formula>"N/A"</formula>
    </cfRule>
  </conditionalFormatting>
  <conditionalFormatting sqref="M118:O118">
    <cfRule type="cellIs" dxfId="39"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2"/>
  <sheetViews>
    <sheetView workbookViewId="0"/>
  </sheetViews>
  <sheetFormatPr defaultRowHeight="14.5" x14ac:dyDescent="0.35"/>
  <cols>
    <col min="1" max="1" width="23.36328125" style="16" bestFit="1" customWidth="1"/>
    <col min="2" max="2" width="29.54296875" bestFit="1" customWidth="1"/>
    <col min="3" max="3" width="29.54296875" style="16" customWidth="1"/>
    <col min="4" max="4" width="32.90625" bestFit="1" customWidth="1"/>
    <col min="5" max="5" width="7.6328125" bestFit="1" customWidth="1"/>
    <col min="6" max="6" width="8.453125" bestFit="1" customWidth="1"/>
    <col min="7" max="7" width="13.36328125" bestFit="1" customWidth="1"/>
    <col min="8" max="8" width="10.90625" bestFit="1" customWidth="1"/>
    <col min="9" max="9" width="9.90625" bestFit="1" customWidth="1"/>
    <col min="10" max="10" width="7.36328125" bestFit="1" customWidth="1"/>
    <col min="11" max="11" width="40.36328125" style="16" customWidth="1"/>
    <col min="12" max="12" width="31.6328125" bestFit="1" customWidth="1"/>
    <col min="13" max="13" width="11" bestFit="1" customWidth="1"/>
  </cols>
  <sheetData>
    <row r="1" spans="1:13" s="16" customFormat="1" ht="24" thickBot="1" x14ac:dyDescent="0.6">
      <c r="B1" s="29" t="s">
        <v>412</v>
      </c>
      <c r="C1" s="29"/>
      <c r="D1" s="30" t="s">
        <v>622</v>
      </c>
    </row>
    <row r="2" spans="1:13" ht="15" thickBot="1" x14ac:dyDescent="0.4">
      <c r="A2" s="37" t="s">
        <v>0</v>
      </c>
      <c r="B2" s="38" t="s">
        <v>1</v>
      </c>
      <c r="C2" s="43" t="s">
        <v>383</v>
      </c>
      <c r="D2" s="43" t="s">
        <v>2</v>
      </c>
      <c r="E2" s="50" t="s">
        <v>3</v>
      </c>
      <c r="F2" s="50" t="s">
        <v>4</v>
      </c>
      <c r="G2" s="35" t="s">
        <v>5</v>
      </c>
      <c r="H2" s="36" t="s">
        <v>6</v>
      </c>
      <c r="I2" s="36" t="s">
        <v>397</v>
      </c>
      <c r="J2" s="36" t="s">
        <v>398</v>
      </c>
      <c r="K2" s="36" t="s">
        <v>436</v>
      </c>
      <c r="L2" s="36" t="s">
        <v>7</v>
      </c>
      <c r="M2" s="36" t="s">
        <v>8</v>
      </c>
    </row>
    <row r="3" spans="1:13" x14ac:dyDescent="0.35">
      <c r="A3" s="164" t="s">
        <v>9</v>
      </c>
      <c r="B3" s="39" t="s">
        <v>407</v>
      </c>
      <c r="C3" s="58" t="s">
        <v>407</v>
      </c>
      <c r="D3" s="44" t="s">
        <v>10</v>
      </c>
      <c r="E3" s="45" t="s">
        <v>11</v>
      </c>
      <c r="F3" s="80">
        <f ca="1">IF($C3="No Param",32,VLOOKUP($C3,INDIRECT(Config!$B$1),HLOOKUP(D$1,INDIRECT(Config!$E$1),2,FALSE),FALSE))</f>
        <v>512</v>
      </c>
      <c r="G3" s="31" t="s">
        <v>12</v>
      </c>
      <c r="H3" s="31" t="s">
        <v>13</v>
      </c>
      <c r="I3" s="31">
        <v>0</v>
      </c>
      <c r="J3" s="31">
        <v>0</v>
      </c>
      <c r="K3" s="65" t="s">
        <v>524</v>
      </c>
      <c r="L3" s="192" t="s">
        <v>379</v>
      </c>
      <c r="M3" s="196" t="s">
        <v>14</v>
      </c>
    </row>
    <row r="4" spans="1:13" x14ac:dyDescent="0.35">
      <c r="A4" s="164"/>
      <c r="B4" s="40" t="s">
        <v>408</v>
      </c>
      <c r="C4" s="46" t="s">
        <v>408</v>
      </c>
      <c r="D4" s="46" t="s">
        <v>10</v>
      </c>
      <c r="E4" s="47" t="s">
        <v>11</v>
      </c>
      <c r="F4" s="51">
        <f ca="1">IF($C4="No Param",32,VLOOKUP($C4,INDIRECT(Config!$B$1),HLOOKUP(D$1,INDIRECT(Config!$E$1),2,FALSE),FALSE))</f>
        <v>32</v>
      </c>
      <c r="G4" s="17" t="str">
        <f ca="1">IF(F4=0, "N/A", CONCATENATE("0x",DEC2HEX(HEX2DEC(SUBSTITUTE(G3,"0x",""))+F3/8)))</f>
        <v>0x6040</v>
      </c>
      <c r="H4" s="17" t="str">
        <f ca="1">CONCATENATE("0x",DEC2HEX(HEX2DEC(SUBSTITUTE(H3,"0x",""))+F3/8))</f>
        <v>0xF00B0040</v>
      </c>
      <c r="I4" s="17">
        <v>0</v>
      </c>
      <c r="J4" s="17">
        <v>0</v>
      </c>
      <c r="K4" s="7" t="s">
        <v>525</v>
      </c>
      <c r="L4" s="193"/>
      <c r="M4" s="197"/>
    </row>
    <row r="5" spans="1:13" x14ac:dyDescent="0.35">
      <c r="A5" s="164"/>
      <c r="B5" s="40" t="s">
        <v>409</v>
      </c>
      <c r="C5" s="46" t="s">
        <v>409</v>
      </c>
      <c r="D5" s="46" t="s">
        <v>15</v>
      </c>
      <c r="E5" s="47" t="s">
        <v>11</v>
      </c>
      <c r="F5" s="51">
        <f ca="1">IF($C5="No Param",32,VLOOKUP($C5,INDIRECT(Config!$B$1),HLOOKUP(D$1,INDIRECT(Config!$E$1),2,FALSE),FALSE))</f>
        <v>256</v>
      </c>
      <c r="G5" s="17" t="str">
        <f ca="1">IF(F5=0, "N/A", CONCATENATE("0x",DEC2HEX(HEX2DEC(SUBSTITUTE(G3,"0x",""))+(F3+F4)/8)))</f>
        <v>0x6044</v>
      </c>
      <c r="H5" s="17" t="str">
        <f ca="1">CONCATENATE("0x",DEC2HEX(HEX2DEC(SUBSTITUTE(H4,"0x",""))+F4/8))</f>
        <v>0xF00B0044</v>
      </c>
      <c r="I5" s="17">
        <v>0</v>
      </c>
      <c r="J5" s="17">
        <v>0</v>
      </c>
      <c r="K5" s="7" t="s">
        <v>526</v>
      </c>
      <c r="L5" s="193"/>
      <c r="M5" s="197"/>
    </row>
    <row r="6" spans="1:13" s="16" customFormat="1" x14ac:dyDescent="0.35">
      <c r="A6" s="164"/>
      <c r="B6" s="57" t="s">
        <v>410</v>
      </c>
      <c r="C6" s="90" t="s">
        <v>410</v>
      </c>
      <c r="D6" s="46" t="s">
        <v>15</v>
      </c>
      <c r="E6" s="47" t="s">
        <v>11</v>
      </c>
      <c r="F6" s="51">
        <f ca="1">IF($C6="No Param",32,VLOOKUP($C6,INDIRECT(Config!$B$1),HLOOKUP(D$1,INDIRECT(Config!$E$1),2,FALSE),FALSE))</f>
        <v>256</v>
      </c>
      <c r="G6" s="17" t="str">
        <f ca="1">IF(F6=0, "N/A", CONCATENATE("0x",DEC2HEX(HEX2DEC(SUBSTITUTE(G3,"0x",""))+(F3+F4+F5)/8)))</f>
        <v>0x6064</v>
      </c>
      <c r="H6" s="17" t="str">
        <f ca="1">CONCATENATE("0x",DEC2HEX(HEX2DEC(SUBSTITUTE(H5,"0x",""))+F5/8))</f>
        <v>0xF00B0064</v>
      </c>
      <c r="I6" s="17">
        <v>0</v>
      </c>
      <c r="J6" s="17">
        <v>0</v>
      </c>
      <c r="K6" s="3" t="s">
        <v>530</v>
      </c>
      <c r="L6" s="194"/>
      <c r="M6" s="198"/>
    </row>
    <row r="7" spans="1:13" ht="15" thickBot="1" x14ac:dyDescent="0.4">
      <c r="A7" s="164"/>
      <c r="B7" s="60" t="s">
        <v>434</v>
      </c>
      <c r="C7" s="99" t="s">
        <v>434</v>
      </c>
      <c r="D7" s="58" t="s">
        <v>10</v>
      </c>
      <c r="E7" s="59" t="s">
        <v>11</v>
      </c>
      <c r="F7" s="97">
        <f ca="1">IF($C7="No Param",32,VLOOKUP($C7,INDIRECT(Config!$B$1),HLOOKUP(D$1,INDIRECT(Config!$E$1),2,FALSE),FALSE))</f>
        <v>0</v>
      </c>
      <c r="G7" s="33" t="str">
        <f ca="1">IF(F7=0, "N/A", CONCATENATE("0x",DEC2HEX(HEX2DEC(SUBSTITUTE(G3,"0x",""))+(F3+F4+F5+F6)/8)))</f>
        <v>N/A</v>
      </c>
      <c r="H7" s="33" t="str">
        <f ca="1">CONCATENATE("0x",DEC2HEX(HEX2DEC(SUBSTITUTE(H6,"0x",""))+F6/8))</f>
        <v>0xF00B0084</v>
      </c>
      <c r="I7" s="56">
        <v>0</v>
      </c>
      <c r="J7" s="56">
        <v>0</v>
      </c>
      <c r="K7" s="66" t="s">
        <v>531</v>
      </c>
      <c r="L7" s="195"/>
      <c r="M7" s="199"/>
    </row>
    <row r="8" spans="1:13" x14ac:dyDescent="0.35">
      <c r="A8" s="34" t="s">
        <v>16</v>
      </c>
      <c r="B8" s="41" t="s">
        <v>17</v>
      </c>
      <c r="C8" s="92" t="s">
        <v>17</v>
      </c>
      <c r="D8" s="44" t="s">
        <v>18</v>
      </c>
      <c r="E8" s="45" t="s">
        <v>19</v>
      </c>
      <c r="F8" s="122">
        <f ca="1">IF($C8="No Param",32,VLOOKUP($C8,INDIRECT(Config!$B$1),HLOOKUP(D$1,INDIRECT(Config!$E$1),2,FALSE),FALSE))</f>
        <v>768</v>
      </c>
      <c r="G8" s="31" t="s">
        <v>572</v>
      </c>
      <c r="H8" s="31" t="s">
        <v>20</v>
      </c>
      <c r="I8" s="31">
        <v>0</v>
      </c>
      <c r="J8" s="31">
        <v>0</v>
      </c>
      <c r="K8" s="65" t="s">
        <v>527</v>
      </c>
      <c r="L8" s="200" t="s">
        <v>380</v>
      </c>
      <c r="M8" s="196" t="s">
        <v>21</v>
      </c>
    </row>
    <row r="9" spans="1:13" x14ac:dyDescent="0.35">
      <c r="A9" s="179" t="s">
        <v>22</v>
      </c>
      <c r="B9" s="42" t="s">
        <v>411</v>
      </c>
      <c r="C9" s="93" t="s">
        <v>411</v>
      </c>
      <c r="D9" s="46" t="s">
        <v>18</v>
      </c>
      <c r="E9" s="47" t="s">
        <v>19</v>
      </c>
      <c r="F9" s="64">
        <f ca="1">IF($C9="No Param",32,VLOOKUP($C9,INDIRECT(Config!$B$1),HLOOKUP(D$1,INDIRECT(Config!$E$1),2,FALSE),FALSE))</f>
        <v>160</v>
      </c>
      <c r="G9" s="17" t="str">
        <f ca="1">IF(F9=0, "N/A", CONCATENATE("0x",DEC2HEX(HEX2DEC(SUBSTITUTE(G8,"0x",""))+F8/8)))</f>
        <v>0x6860</v>
      </c>
      <c r="H9" s="17" t="str">
        <f ca="1">CONCATENATE("0x",DEC2HEX(HEX2DEC(SUBSTITUTE(H8,"0x",""))+F8/8))</f>
        <v>0xF00B0460</v>
      </c>
      <c r="I9" s="17">
        <v>0</v>
      </c>
      <c r="J9" s="17">
        <v>0</v>
      </c>
      <c r="K9" s="7" t="s">
        <v>533</v>
      </c>
      <c r="L9" s="201"/>
      <c r="M9" s="197"/>
    </row>
    <row r="10" spans="1:13" x14ac:dyDescent="0.35">
      <c r="A10" s="180"/>
      <c r="B10" s="62" t="s">
        <v>24</v>
      </c>
      <c r="C10" s="63" t="s">
        <v>24</v>
      </c>
      <c r="D10" s="46" t="s">
        <v>18</v>
      </c>
      <c r="E10" s="47" t="s">
        <v>19</v>
      </c>
      <c r="F10" s="64">
        <f ca="1">IF($C10="No Param",32,VLOOKUP($C10,INDIRECT(Config!$B$1),HLOOKUP(D$1,INDIRECT(Config!$E$1),2,FALSE),FALSE))</f>
        <v>32</v>
      </c>
      <c r="G10" s="17" t="str">
        <f ca="1">IF(F10=0, "N/A", CONCATENATE("0x",DEC2HEX(HEX2DEC(SUBSTITUTE(G8,"0x",""))+(F8+F9)/8)))</f>
        <v>0x6874</v>
      </c>
      <c r="H10" s="17" t="str">
        <f ca="1">CONCATENATE("0x",DEC2HEX(HEX2DEC(SUBSTITUTE(H9,"0x",""))+F9/8))</f>
        <v>0xF00B0474</v>
      </c>
      <c r="I10" s="17">
        <v>0</v>
      </c>
      <c r="J10" s="17">
        <v>0</v>
      </c>
      <c r="K10" s="7" t="s">
        <v>528</v>
      </c>
      <c r="L10" s="201"/>
      <c r="M10" s="197"/>
    </row>
    <row r="11" spans="1:13" s="16" customFormat="1" x14ac:dyDescent="0.35">
      <c r="A11" s="180"/>
      <c r="B11" s="63" t="s">
        <v>435</v>
      </c>
      <c r="C11" s="63" t="s">
        <v>435</v>
      </c>
      <c r="D11" s="46" t="s">
        <v>18</v>
      </c>
      <c r="E11" s="47" t="s">
        <v>19</v>
      </c>
      <c r="F11" s="64">
        <f ca="1">IF($C11="No Param",32,VLOOKUP($C11,INDIRECT(Config!$B$1),HLOOKUP(D$1,INDIRECT(Config!$E$1),2,FALSE),FALSE))</f>
        <v>0</v>
      </c>
      <c r="G11" s="17" t="str">
        <f ca="1">IF(F11=0, "N/A", CONCATENATE("0x",DEC2HEX(HEX2DEC(SUBSTITUTE(G8,"0x",""))+(F8+F9+F10)/8)))</f>
        <v>N/A</v>
      </c>
      <c r="H11" s="17" t="str">
        <f ca="1">CONCATENATE("0x",DEC2HEX(HEX2DEC(SUBSTITUTE(H10,"0x",""))+F10/8))</f>
        <v>0xF00B0478</v>
      </c>
      <c r="I11" s="17">
        <v>0</v>
      </c>
      <c r="J11" s="17">
        <v>0</v>
      </c>
      <c r="K11" s="7" t="s">
        <v>532</v>
      </c>
      <c r="L11" s="202"/>
      <c r="M11" s="198"/>
    </row>
    <row r="12" spans="1:13" ht="15" thickBot="1" x14ac:dyDescent="0.4">
      <c r="A12" s="181"/>
      <c r="B12" s="61" t="s">
        <v>23</v>
      </c>
      <c r="C12" s="100" t="s">
        <v>23</v>
      </c>
      <c r="D12" s="55" t="s">
        <v>18</v>
      </c>
      <c r="E12" s="59" t="s">
        <v>19</v>
      </c>
      <c r="F12" s="123">
        <f ca="1">IF($C12="No Param",32,VLOOKUP($C12,INDIRECT(Config!$B$1),HLOOKUP(D$1,INDIRECT(Config!$E$1),2,FALSE),FALSE))</f>
        <v>0</v>
      </c>
      <c r="G12" s="33" t="str">
        <f ca="1">IF(F12=0, "N/A", CONCATENATE("0x",DEC2HEX(HEX2DEC(SUBSTITUTE(G8,"0x",""))+(F8+F9+F10+F11)/8)))</f>
        <v>N/A</v>
      </c>
      <c r="H12" s="33" t="str">
        <f ca="1">CONCATENATE("0x",DEC2HEX(HEX2DEC(SUBSTITUTE(H11,"0x",""))+F11/8))</f>
        <v>0xF00B0478</v>
      </c>
      <c r="I12" s="56">
        <v>0</v>
      </c>
      <c r="J12" s="56">
        <v>0</v>
      </c>
      <c r="K12" s="66" t="s">
        <v>529</v>
      </c>
      <c r="L12" s="203"/>
      <c r="M12" s="199"/>
    </row>
  </sheetData>
  <mergeCells count="6">
    <mergeCell ref="L3:L7"/>
    <mergeCell ref="M3:M7"/>
    <mergeCell ref="L8:L12"/>
    <mergeCell ref="M8:M12"/>
    <mergeCell ref="A3:A7"/>
    <mergeCell ref="A9:A12"/>
  </mergeCells>
  <conditionalFormatting sqref="I7:I10 I12 I3:I5">
    <cfRule type="cellIs" dxfId="38" priority="83" operator="equal">
      <formula>0</formula>
    </cfRule>
  </conditionalFormatting>
  <conditionalFormatting sqref="J3:K5 J7:K10 J12:K12">
    <cfRule type="cellIs" dxfId="37" priority="75" operator="equal">
      <formula>0</formula>
    </cfRule>
  </conditionalFormatting>
  <conditionalFormatting sqref="B6 D6:E6">
    <cfRule type="cellIs" dxfId="36" priority="35" operator="equal">
      <formula>0</formula>
    </cfRule>
  </conditionalFormatting>
  <conditionalFormatting sqref="B3 D3:E3">
    <cfRule type="cellIs" dxfId="35" priority="43" operator="equal">
      <formula>0</formula>
    </cfRule>
  </conditionalFormatting>
  <conditionalFormatting sqref="B4 D4:E4">
    <cfRule type="cellIs" dxfId="34" priority="42" operator="equal">
      <formula>0</formula>
    </cfRule>
  </conditionalFormatting>
  <conditionalFormatting sqref="B5 D5:E5">
    <cfRule type="cellIs" dxfId="33" priority="41" operator="equal">
      <formula>0</formula>
    </cfRule>
  </conditionalFormatting>
  <conditionalFormatting sqref="B7 E7">
    <cfRule type="cellIs" dxfId="32" priority="40" operator="equal">
      <formula>0</formula>
    </cfRule>
  </conditionalFormatting>
  <conditionalFormatting sqref="B9 D9:E9">
    <cfRule type="cellIs" dxfId="31" priority="38" operator="equal">
      <formula>0</formula>
    </cfRule>
  </conditionalFormatting>
  <conditionalFormatting sqref="I6">
    <cfRule type="cellIs" dxfId="30" priority="52" operator="equal">
      <formula>0</formula>
    </cfRule>
  </conditionalFormatting>
  <conditionalFormatting sqref="J6:K6">
    <cfRule type="cellIs" dxfId="29" priority="50" operator="equal">
      <formula>0</formula>
    </cfRule>
  </conditionalFormatting>
  <conditionalFormatting sqref="F3:H3 F4:F12">
    <cfRule type="cellIs" dxfId="28" priority="24" operator="equal">
      <formula>0</formula>
    </cfRule>
  </conditionalFormatting>
  <conditionalFormatting sqref="I11">
    <cfRule type="cellIs" dxfId="27" priority="46" operator="equal">
      <formula>0</formula>
    </cfRule>
  </conditionalFormatting>
  <conditionalFormatting sqref="J11:K11">
    <cfRule type="cellIs" dxfId="26" priority="45" operator="equal">
      <formula>0</formula>
    </cfRule>
  </conditionalFormatting>
  <conditionalFormatting sqref="D7">
    <cfRule type="cellIs" dxfId="25" priority="34" operator="equal">
      <formula>0</formula>
    </cfRule>
  </conditionalFormatting>
  <conditionalFormatting sqref="B8 D8:E8">
    <cfRule type="cellIs" priority="39" operator="equal">
      <formula>0</formula>
    </cfRule>
  </conditionalFormatting>
  <conditionalFormatting sqref="B10 D10:E10">
    <cfRule type="cellIs" dxfId="24" priority="36" operator="equal">
      <formula>0</formula>
    </cfRule>
    <cfRule type="cellIs" dxfId="23" priority="37" operator="equal">
      <formula>0</formula>
    </cfRule>
  </conditionalFormatting>
  <conditionalFormatting sqref="C3">
    <cfRule type="cellIs" dxfId="22" priority="9" operator="equal">
      <formula>0</formula>
    </cfRule>
  </conditionalFormatting>
  <conditionalFormatting sqref="G7">
    <cfRule type="cellIs" dxfId="21" priority="13" operator="equal">
      <formula>0</formula>
    </cfRule>
  </conditionalFormatting>
  <conditionalFormatting sqref="G12">
    <cfRule type="cellIs" dxfId="20" priority="10" operator="equal">
      <formula>0</formula>
    </cfRule>
  </conditionalFormatting>
  <conditionalFormatting sqref="C4">
    <cfRule type="cellIs" dxfId="19" priority="8" operator="equal">
      <formula>0</formula>
    </cfRule>
  </conditionalFormatting>
  <conditionalFormatting sqref="H6">
    <cfRule type="cellIs" dxfId="18" priority="16" operator="equal">
      <formula>0</formula>
    </cfRule>
  </conditionalFormatting>
  <conditionalFormatting sqref="G5">
    <cfRule type="cellIs" dxfId="17" priority="15" operator="equal">
      <formula>0</formula>
    </cfRule>
  </conditionalFormatting>
  <conditionalFormatting sqref="C8">
    <cfRule type="cellIs" priority="5" operator="equal">
      <formula>0</formula>
    </cfRule>
  </conditionalFormatting>
  <conditionalFormatting sqref="C10">
    <cfRule type="cellIs" dxfId="16" priority="2" operator="equal">
      <formula>0</formula>
    </cfRule>
    <cfRule type="cellIs" dxfId="15" priority="3" operator="equal">
      <formula>0</formula>
    </cfRule>
  </conditionalFormatting>
  <conditionalFormatting sqref="G4:H4">
    <cfRule type="cellIs" dxfId="14" priority="23" operator="equal">
      <formula>0</formula>
    </cfRule>
  </conditionalFormatting>
  <conditionalFormatting sqref="H5">
    <cfRule type="cellIs" dxfId="13" priority="22" operator="equal">
      <formula>0</formula>
    </cfRule>
  </conditionalFormatting>
  <conditionalFormatting sqref="H7">
    <cfRule type="cellIs" dxfId="12" priority="21" operator="equal">
      <formula>0</formula>
    </cfRule>
  </conditionalFormatting>
  <conditionalFormatting sqref="G8:H8">
    <cfRule type="cellIs" priority="20" operator="equal">
      <formula>0</formula>
    </cfRule>
  </conditionalFormatting>
  <conditionalFormatting sqref="G9:H9">
    <cfRule type="cellIs" dxfId="11" priority="19" operator="equal">
      <formula>0</formula>
    </cfRule>
  </conditionalFormatting>
  <conditionalFormatting sqref="H10">
    <cfRule type="cellIs" dxfId="10" priority="17" operator="equal">
      <formula>0</formula>
    </cfRule>
    <cfRule type="cellIs" dxfId="9" priority="18" operator="equal">
      <formula>0</formula>
    </cfRule>
  </conditionalFormatting>
  <conditionalFormatting sqref="C5">
    <cfRule type="cellIs" dxfId="8" priority="7" operator="equal">
      <formula>0</formula>
    </cfRule>
  </conditionalFormatting>
  <conditionalFormatting sqref="C7">
    <cfRule type="cellIs" dxfId="7" priority="6" operator="equal">
      <formula>0</formula>
    </cfRule>
  </conditionalFormatting>
  <conditionalFormatting sqref="G6">
    <cfRule type="cellIs" dxfId="6" priority="14" operator="equal">
      <formula>0</formula>
    </cfRule>
  </conditionalFormatting>
  <conditionalFormatting sqref="C9">
    <cfRule type="cellIs" dxfId="5" priority="4" operator="equal">
      <formula>0</formula>
    </cfRule>
  </conditionalFormatting>
  <conditionalFormatting sqref="C6">
    <cfRule type="cellIs" dxfId="4" priority="1" operator="equal">
      <formula>0</formula>
    </cfRule>
  </conditionalFormatting>
  <conditionalFormatting sqref="G10">
    <cfRule type="cellIs" dxfId="3" priority="12" operator="equal">
      <formula>0</formula>
    </cfRule>
  </conditionalFormatting>
  <conditionalFormatting sqref="G11">
    <cfRule type="cellIs" dxfId="2" priority="1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55"/>
  <sheetViews>
    <sheetView zoomScale="85" zoomScaleNormal="85" workbookViewId="0">
      <selection activeCell="K50" sqref="K50"/>
    </sheetView>
  </sheetViews>
  <sheetFormatPr defaultColWidth="9.08984375" defaultRowHeight="14.5" x14ac:dyDescent="0.35"/>
  <cols>
    <col min="1" max="1" width="20.36328125" style="6" customWidth="1"/>
    <col min="2" max="2" width="33.453125" style="6" bestFit="1" customWidth="1"/>
    <col min="3" max="3" width="11.36328125" style="16" bestFit="1" customWidth="1"/>
    <col min="4" max="4" width="12.54296875" style="16" bestFit="1" customWidth="1"/>
    <col min="5" max="5" width="53.08984375" style="6" customWidth="1"/>
    <col min="6" max="6" width="24" style="6" bestFit="1" customWidth="1"/>
    <col min="7" max="7" width="11.6328125" style="16" bestFit="1" customWidth="1"/>
    <col min="8" max="8" width="16.453125" style="16" bestFit="1" customWidth="1"/>
    <col min="9" max="9" width="13.36328125" style="6" bestFit="1" customWidth="1"/>
    <col min="10" max="10" width="12.54296875" style="6" bestFit="1" customWidth="1"/>
    <col min="11" max="11" width="12.54296875" style="16" customWidth="1"/>
    <col min="12" max="12" width="8.6328125" style="6" bestFit="1" customWidth="1"/>
    <col min="13" max="13" width="6.6328125" style="6" bestFit="1" customWidth="1"/>
    <col min="14" max="14" width="7" style="6" bestFit="1" customWidth="1"/>
    <col min="15" max="15" width="20" style="6" customWidth="1"/>
    <col min="16" max="16384" width="9.08984375" style="6"/>
  </cols>
  <sheetData>
    <row r="1" spans="1:14" ht="20.25" customHeight="1" x14ac:dyDescent="0.35">
      <c r="A1" s="1" t="s">
        <v>59</v>
      </c>
      <c r="B1" s="1" t="s">
        <v>60</v>
      </c>
      <c r="C1" s="1" t="s">
        <v>394</v>
      </c>
      <c r="D1" s="1" t="s">
        <v>395</v>
      </c>
      <c r="E1" s="1" t="s">
        <v>61</v>
      </c>
      <c r="F1" s="1" t="s">
        <v>62</v>
      </c>
      <c r="G1" s="1" t="s">
        <v>385</v>
      </c>
      <c r="H1" s="1" t="s">
        <v>384</v>
      </c>
      <c r="I1" s="1" t="s">
        <v>63</v>
      </c>
      <c r="J1" s="1" t="s">
        <v>64</v>
      </c>
      <c r="K1" s="1" t="s">
        <v>436</v>
      </c>
      <c r="L1" s="1" t="s">
        <v>622</v>
      </c>
      <c r="M1" s="1" t="s">
        <v>623</v>
      </c>
      <c r="N1" s="1" t="s">
        <v>624</v>
      </c>
    </row>
    <row r="2" spans="1:14" x14ac:dyDescent="0.35">
      <c r="A2" s="174" t="s">
        <v>44</v>
      </c>
      <c r="B2" s="4" t="s">
        <v>627</v>
      </c>
      <c r="C2" s="7">
        <v>0</v>
      </c>
      <c r="D2" s="7">
        <v>1</v>
      </c>
      <c r="E2" s="9" t="s">
        <v>274</v>
      </c>
      <c r="F2" s="8" t="s">
        <v>275</v>
      </c>
      <c r="G2" s="8">
        <v>0</v>
      </c>
      <c r="H2" s="8">
        <v>0</v>
      </c>
      <c r="I2" s="8"/>
      <c r="J2" s="7" t="s">
        <v>89</v>
      </c>
      <c r="K2" s="7" t="s">
        <v>487</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5">
      <c r="A3" s="204"/>
      <c r="B3" s="4" t="s">
        <v>627</v>
      </c>
      <c r="C3" s="7">
        <v>1</v>
      </c>
      <c r="D3" s="7">
        <v>1</v>
      </c>
      <c r="E3" s="10" t="s">
        <v>276</v>
      </c>
      <c r="F3" s="8" t="s">
        <v>277</v>
      </c>
      <c r="G3" s="8">
        <v>0</v>
      </c>
      <c r="H3" s="8">
        <v>0</v>
      </c>
      <c r="I3" s="8"/>
      <c r="J3" s="7" t="s">
        <v>89</v>
      </c>
      <c r="K3" s="7" t="s">
        <v>488</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5">
      <c r="A4" s="204"/>
      <c r="B4" s="4" t="s">
        <v>627</v>
      </c>
      <c r="C4" s="7">
        <v>2</v>
      </c>
      <c r="D4" s="7">
        <v>1</v>
      </c>
      <c r="E4" s="10" t="s">
        <v>278</v>
      </c>
      <c r="F4" s="8" t="s">
        <v>279</v>
      </c>
      <c r="G4" s="8">
        <v>0</v>
      </c>
      <c r="H4" s="8">
        <v>0</v>
      </c>
      <c r="I4" s="8"/>
      <c r="J4" s="7" t="s">
        <v>89</v>
      </c>
      <c r="K4" s="7" t="s">
        <v>489</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5">
      <c r="A5" s="204"/>
      <c r="B5" s="2" t="s">
        <v>50</v>
      </c>
      <c r="C5" s="2">
        <v>3</v>
      </c>
      <c r="D5" s="2">
        <v>1</v>
      </c>
      <c r="E5" s="2"/>
      <c r="F5" s="8" t="s">
        <v>280</v>
      </c>
      <c r="G5" s="8">
        <v>0</v>
      </c>
      <c r="H5" s="8">
        <v>0</v>
      </c>
      <c r="I5" s="8"/>
      <c r="J5" s="7"/>
      <c r="K5" s="7" t="s">
        <v>472</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5">
      <c r="A6" s="204"/>
      <c r="B6" s="4" t="s">
        <v>643</v>
      </c>
      <c r="C6" s="7">
        <v>4</v>
      </c>
      <c r="D6" s="7">
        <v>1</v>
      </c>
      <c r="E6" s="10" t="s">
        <v>281</v>
      </c>
      <c r="F6" s="8" t="s">
        <v>282</v>
      </c>
      <c r="G6" s="8">
        <v>0</v>
      </c>
      <c r="H6" s="8">
        <v>0</v>
      </c>
      <c r="I6" s="8"/>
      <c r="J6" s="7" t="s">
        <v>89</v>
      </c>
      <c r="K6" s="7" t="s">
        <v>490</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5">
      <c r="A7" s="204"/>
      <c r="B7" s="4" t="s">
        <v>643</v>
      </c>
      <c r="C7" s="7">
        <v>5</v>
      </c>
      <c r="D7" s="7">
        <v>1</v>
      </c>
      <c r="E7" s="11" t="s">
        <v>283</v>
      </c>
      <c r="F7" s="8" t="s">
        <v>284</v>
      </c>
      <c r="G7" s="8">
        <v>0</v>
      </c>
      <c r="H7" s="8">
        <v>0</v>
      </c>
      <c r="I7" s="8"/>
      <c r="J7" s="7" t="s">
        <v>89</v>
      </c>
      <c r="K7" s="7" t="s">
        <v>491</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5">
      <c r="A8" s="204"/>
      <c r="B8" s="4" t="s">
        <v>643</v>
      </c>
      <c r="C8" s="7">
        <v>6</v>
      </c>
      <c r="D8" s="7">
        <v>1</v>
      </c>
      <c r="E8" s="10" t="s">
        <v>285</v>
      </c>
      <c r="F8" s="8" t="s">
        <v>286</v>
      </c>
      <c r="G8" s="8">
        <v>0</v>
      </c>
      <c r="H8" s="8">
        <v>0</v>
      </c>
      <c r="I8" s="8"/>
      <c r="J8" s="7" t="s">
        <v>89</v>
      </c>
      <c r="K8" s="7" t="s">
        <v>492</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5">
      <c r="A9" s="204"/>
      <c r="B9" s="4" t="s">
        <v>661</v>
      </c>
      <c r="C9" s="7">
        <v>7</v>
      </c>
      <c r="D9" s="7">
        <v>1</v>
      </c>
      <c r="E9" s="10" t="s">
        <v>287</v>
      </c>
      <c r="F9" s="8" t="s">
        <v>288</v>
      </c>
      <c r="G9" s="8">
        <v>0</v>
      </c>
      <c r="H9" s="8">
        <v>0</v>
      </c>
      <c r="I9" s="8"/>
      <c r="J9" s="7" t="s">
        <v>89</v>
      </c>
      <c r="K9" s="7" t="s">
        <v>493</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5">
      <c r="A10" s="204"/>
      <c r="B10" s="2" t="s">
        <v>50</v>
      </c>
      <c r="C10" s="2">
        <v>8</v>
      </c>
      <c r="D10" s="2">
        <v>1</v>
      </c>
      <c r="E10" s="14"/>
      <c r="F10" s="17" t="s">
        <v>289</v>
      </c>
      <c r="G10" s="8">
        <v>0</v>
      </c>
      <c r="H10" s="8">
        <v>0</v>
      </c>
      <c r="I10" s="17"/>
      <c r="J10" s="7"/>
      <c r="K10" s="7" t="s">
        <v>472</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5">
      <c r="A11" s="204"/>
      <c r="B11" s="4" t="s">
        <v>627</v>
      </c>
      <c r="C11" s="7">
        <v>9</v>
      </c>
      <c r="D11" s="7">
        <v>1</v>
      </c>
      <c r="E11" s="10" t="s">
        <v>290</v>
      </c>
      <c r="F11" s="17" t="s">
        <v>291</v>
      </c>
      <c r="G11" s="8">
        <v>0</v>
      </c>
      <c r="H11" s="8">
        <v>0</v>
      </c>
      <c r="I11" s="17"/>
      <c r="J11" s="7" t="s">
        <v>89</v>
      </c>
      <c r="K11" s="7" t="s">
        <v>494</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5">
      <c r="A12" s="204"/>
      <c r="B12" s="4" t="s">
        <v>627</v>
      </c>
      <c r="C12" s="7">
        <v>10</v>
      </c>
      <c r="D12" s="7">
        <v>1</v>
      </c>
      <c r="E12" s="10" t="s">
        <v>292</v>
      </c>
      <c r="F12" s="17" t="s">
        <v>293</v>
      </c>
      <c r="G12" s="8">
        <v>0</v>
      </c>
      <c r="H12" s="8">
        <v>0</v>
      </c>
      <c r="I12" s="17"/>
      <c r="J12" s="7" t="s">
        <v>89</v>
      </c>
      <c r="K12" s="7" t="s">
        <v>495</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5">
      <c r="A13" s="204"/>
      <c r="B13" s="4" t="s">
        <v>627</v>
      </c>
      <c r="C13" s="7">
        <v>11</v>
      </c>
      <c r="D13" s="7">
        <v>1</v>
      </c>
      <c r="E13" s="10" t="s">
        <v>294</v>
      </c>
      <c r="F13" s="17" t="s">
        <v>295</v>
      </c>
      <c r="G13" s="8">
        <v>0</v>
      </c>
      <c r="H13" s="8">
        <v>0</v>
      </c>
      <c r="I13" s="17"/>
      <c r="J13" s="7" t="s">
        <v>89</v>
      </c>
      <c r="K13" s="7" t="s">
        <v>496</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5">
      <c r="A14" s="204"/>
      <c r="B14" s="2" t="s">
        <v>50</v>
      </c>
      <c r="C14" s="2">
        <v>12</v>
      </c>
      <c r="D14" s="2">
        <v>4</v>
      </c>
      <c r="E14" s="14"/>
      <c r="F14" s="17" t="s">
        <v>296</v>
      </c>
      <c r="G14" s="8">
        <v>0</v>
      </c>
      <c r="H14" s="8">
        <v>0</v>
      </c>
      <c r="I14" s="17"/>
      <c r="J14" s="7"/>
      <c r="K14" s="7" t="s">
        <v>472</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x14ac:dyDescent="0.35">
      <c r="A15" s="204"/>
      <c r="B15" s="4" t="s">
        <v>627</v>
      </c>
      <c r="C15" s="7">
        <v>13</v>
      </c>
      <c r="D15" s="7">
        <v>1</v>
      </c>
      <c r="E15" s="10" t="s">
        <v>297</v>
      </c>
      <c r="F15" s="17" t="s">
        <v>298</v>
      </c>
      <c r="G15" s="8">
        <v>0</v>
      </c>
      <c r="H15" s="8">
        <v>0</v>
      </c>
      <c r="I15" s="17"/>
      <c r="J15" s="7" t="s">
        <v>89</v>
      </c>
      <c r="K15" s="7" t="s">
        <v>497</v>
      </c>
      <c r="L15" s="4">
        <f ca="1">IF($B15="N/A", "N/A",IF(VLOOKUP("SOFTSTRAP0_EN",INDIRECT(Config!$B$1),HLOOKUP(L$1,INDIRECT(Config!$E$1),2,FALSE),FALSE)=0,0,1))</f>
        <v>1</v>
      </c>
      <c r="M15" s="4">
        <f ca="1">IF($B15="N/A", "N/A",IF(VLOOKUP("SOFTSTRAP0_EN",INDIRECT(Config!$B$1),HLOOKUP(M$1,INDIRECT(Config!$E$1),2,FALSE),FALSE)=0,0,1))</f>
        <v>1</v>
      </c>
      <c r="N15" s="4">
        <f ca="1">IF($B15="N/A", "N/A",IF(VLOOKUP("SOFTSTRAP0_EN",INDIRECT(Config!$B$1),HLOOKUP(N$1,INDIRECT(Config!$E$1),2,FALSE),FALSE)=0,0,1))</f>
        <v>0</v>
      </c>
    </row>
    <row r="16" spans="1:14" x14ac:dyDescent="0.35">
      <c r="A16" s="204"/>
      <c r="B16" s="4" t="s">
        <v>627</v>
      </c>
      <c r="C16" s="7">
        <v>14</v>
      </c>
      <c r="D16" s="7">
        <v>1</v>
      </c>
      <c r="E16" s="10" t="s">
        <v>299</v>
      </c>
      <c r="F16" s="17" t="s">
        <v>300</v>
      </c>
      <c r="G16" s="8">
        <v>0</v>
      </c>
      <c r="H16" s="8">
        <v>0</v>
      </c>
      <c r="I16" s="17"/>
      <c r="J16" s="7" t="s">
        <v>89</v>
      </c>
      <c r="K16" s="7" t="s">
        <v>498</v>
      </c>
      <c r="L16" s="4">
        <f ca="1">IF($B16="N/A", "N/A",IF(VLOOKUP("SOFTSTRAP0_EN",INDIRECT(Config!$B$1),HLOOKUP(L$1,INDIRECT(Config!$E$1),2,FALSE),FALSE)=0,0,1))</f>
        <v>1</v>
      </c>
      <c r="M16" s="4">
        <f ca="1">IF($B16="N/A", "N/A",IF(VLOOKUP("SOFTSTRAP0_EN",INDIRECT(Config!$B$1),HLOOKUP(M$1,INDIRECT(Config!$E$1),2,FALSE),FALSE)=0,0,1))</f>
        <v>1</v>
      </c>
      <c r="N16" s="4">
        <f ca="1">IF($B16="N/A", "N/A",IF(VLOOKUP("SOFTSTRAP0_EN",INDIRECT(Config!$B$1),HLOOKUP(N$1,INDIRECT(Config!$E$1),2,FALSE),FALSE)=0,0,1))</f>
        <v>0</v>
      </c>
    </row>
    <row r="17" spans="1:14" x14ac:dyDescent="0.35">
      <c r="A17" s="204"/>
      <c r="B17" s="2" t="s">
        <v>50</v>
      </c>
      <c r="C17" s="2">
        <v>18</v>
      </c>
      <c r="D17" s="2">
        <v>2</v>
      </c>
      <c r="E17" s="14"/>
      <c r="F17" s="17" t="s">
        <v>301</v>
      </c>
      <c r="G17" s="8">
        <v>0</v>
      </c>
      <c r="H17" s="8">
        <v>0</v>
      </c>
      <c r="I17" s="17"/>
      <c r="J17" s="7"/>
      <c r="K17" s="7" t="s">
        <v>472</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5">
      <c r="A18" s="204"/>
      <c r="B18" s="4" t="s">
        <v>627</v>
      </c>
      <c r="C18" s="7">
        <v>20</v>
      </c>
      <c r="D18" s="7">
        <v>1</v>
      </c>
      <c r="E18" s="10" t="s">
        <v>302</v>
      </c>
      <c r="F18" s="17" t="s">
        <v>303</v>
      </c>
      <c r="G18" s="8">
        <v>0</v>
      </c>
      <c r="H18" s="8">
        <v>0</v>
      </c>
      <c r="I18" s="17"/>
      <c r="J18" s="7" t="s">
        <v>89</v>
      </c>
      <c r="K18" s="7" t="s">
        <v>499</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5">
      <c r="A19" s="204"/>
      <c r="B19" s="4" t="s">
        <v>627</v>
      </c>
      <c r="C19" s="7">
        <v>21</v>
      </c>
      <c r="D19" s="7">
        <v>1</v>
      </c>
      <c r="E19" s="10" t="s">
        <v>304</v>
      </c>
      <c r="F19" s="17" t="s">
        <v>305</v>
      </c>
      <c r="G19" s="8">
        <v>0</v>
      </c>
      <c r="H19" s="8">
        <v>0</v>
      </c>
      <c r="I19" s="17"/>
      <c r="J19" s="7" t="s">
        <v>89</v>
      </c>
      <c r="K19" s="7" t="s">
        <v>500</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5">
      <c r="A20" s="204"/>
      <c r="B20" s="2" t="s">
        <v>50</v>
      </c>
      <c r="C20" s="2">
        <v>22</v>
      </c>
      <c r="D20" s="2">
        <v>7</v>
      </c>
      <c r="E20" s="14"/>
      <c r="F20" s="17" t="s">
        <v>306</v>
      </c>
      <c r="G20" s="8">
        <v>0</v>
      </c>
      <c r="H20" s="8">
        <v>0</v>
      </c>
      <c r="I20" s="17"/>
      <c r="J20" s="7"/>
      <c r="K20" s="7" t="s">
        <v>472</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x14ac:dyDescent="0.35">
      <c r="A21" s="204"/>
      <c r="B21" s="4" t="s">
        <v>627</v>
      </c>
      <c r="C21" s="7">
        <v>29</v>
      </c>
      <c r="D21" s="7">
        <v>1</v>
      </c>
      <c r="E21" s="10" t="s">
        <v>307</v>
      </c>
      <c r="F21" s="17" t="s">
        <v>308</v>
      </c>
      <c r="G21" s="8">
        <v>0</v>
      </c>
      <c r="H21" s="8">
        <v>0</v>
      </c>
      <c r="I21" s="17"/>
      <c r="J21" s="7" t="s">
        <v>89</v>
      </c>
      <c r="K21" s="7" t="s">
        <v>501</v>
      </c>
      <c r="L21" s="4">
        <f ca="1">IF($B21="N/A", "N/A",IF(VLOOKUP("SOFTSTRAP0_EN",INDIRECT(Config!$B$1),HLOOKUP(L$1,INDIRECT(Config!$E$1),2,FALSE),FALSE)=0,0,1))</f>
        <v>1</v>
      </c>
      <c r="M21" s="4">
        <f ca="1">IF($B21="N/A", "N/A",IF(VLOOKUP("SOFTSTRAP0_EN",INDIRECT(Config!$B$1),HLOOKUP(M$1,INDIRECT(Config!$E$1),2,FALSE),FALSE)=0,0,1))</f>
        <v>1</v>
      </c>
      <c r="N21" s="4">
        <f ca="1">IF($B21="N/A", "N/A",IF(VLOOKUP("SOFTSTRAP0_EN",INDIRECT(Config!$B$1),HLOOKUP(N$1,INDIRECT(Config!$E$1),2,FALSE),FALSE)=0,0,1))</f>
        <v>0</v>
      </c>
    </row>
    <row r="22" spans="1:14" x14ac:dyDescent="0.35">
      <c r="A22" s="204"/>
      <c r="B22" s="7" t="s">
        <v>641</v>
      </c>
      <c r="C22" s="7">
        <v>30</v>
      </c>
      <c r="D22" s="7">
        <v>1</v>
      </c>
      <c r="E22" s="10" t="s">
        <v>309</v>
      </c>
      <c r="F22" s="17" t="s">
        <v>310</v>
      </c>
      <c r="G22" s="8">
        <v>0</v>
      </c>
      <c r="H22" s="8">
        <v>0</v>
      </c>
      <c r="I22" s="17"/>
      <c r="J22" s="7" t="s">
        <v>89</v>
      </c>
      <c r="K22" s="7" t="s">
        <v>502</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35">
      <c r="A23" s="205"/>
      <c r="B23" s="7" t="s">
        <v>642</v>
      </c>
      <c r="C23" s="7">
        <v>31</v>
      </c>
      <c r="D23" s="7">
        <v>1</v>
      </c>
      <c r="E23" s="9" t="s">
        <v>311</v>
      </c>
      <c r="F23" s="17" t="s">
        <v>312</v>
      </c>
      <c r="G23" s="8">
        <v>0</v>
      </c>
      <c r="H23" s="8">
        <v>0</v>
      </c>
      <c r="I23" s="17"/>
      <c r="J23" s="7" t="s">
        <v>89</v>
      </c>
      <c r="K23" s="7" t="s">
        <v>503</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35">
      <c r="A24" s="176" t="s">
        <v>48</v>
      </c>
      <c r="B24" s="17" t="s">
        <v>644</v>
      </c>
      <c r="C24" s="7">
        <v>0</v>
      </c>
      <c r="D24" s="7">
        <v>1</v>
      </c>
      <c r="E24" s="9" t="s">
        <v>313</v>
      </c>
      <c r="F24" s="17" t="s">
        <v>314</v>
      </c>
      <c r="G24" s="8">
        <v>0</v>
      </c>
      <c r="H24" s="8">
        <v>0</v>
      </c>
      <c r="I24" s="17"/>
      <c r="J24" s="7" t="s">
        <v>89</v>
      </c>
      <c r="K24" s="7" t="s">
        <v>504</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35">
      <c r="A25" s="187"/>
      <c r="B25" s="17" t="s">
        <v>644</v>
      </c>
      <c r="C25" s="7">
        <v>1</v>
      </c>
      <c r="D25" s="7">
        <v>1</v>
      </c>
      <c r="E25" s="12" t="s">
        <v>315</v>
      </c>
      <c r="F25" s="17" t="s">
        <v>316</v>
      </c>
      <c r="G25" s="8">
        <v>0</v>
      </c>
      <c r="H25" s="8">
        <v>0</v>
      </c>
      <c r="I25" s="17"/>
      <c r="J25" s="7" t="s">
        <v>89</v>
      </c>
      <c r="K25" s="7" t="s">
        <v>505</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35">
      <c r="A26" s="187"/>
      <c r="B26" s="17" t="s">
        <v>644</v>
      </c>
      <c r="C26" s="7">
        <v>2</v>
      </c>
      <c r="D26" s="7">
        <v>1</v>
      </c>
      <c r="E26" s="12" t="s">
        <v>317</v>
      </c>
      <c r="F26" s="17" t="s">
        <v>318</v>
      </c>
      <c r="G26" s="8">
        <v>0</v>
      </c>
      <c r="H26" s="8">
        <v>0</v>
      </c>
      <c r="I26" s="17"/>
      <c r="J26" s="7" t="s">
        <v>89</v>
      </c>
      <c r="K26" s="7" t="s">
        <v>506</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35">
      <c r="A27" s="187"/>
      <c r="B27" s="17" t="s">
        <v>644</v>
      </c>
      <c r="C27" s="7">
        <v>3</v>
      </c>
      <c r="D27" s="7">
        <v>1</v>
      </c>
      <c r="E27" s="12" t="s">
        <v>319</v>
      </c>
      <c r="F27" s="17" t="s">
        <v>320</v>
      </c>
      <c r="G27" s="8">
        <v>0</v>
      </c>
      <c r="H27" s="8">
        <v>0</v>
      </c>
      <c r="I27" s="17"/>
      <c r="J27" s="7" t="s">
        <v>89</v>
      </c>
      <c r="K27" s="7" t="s">
        <v>507</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35">
      <c r="A28" s="187"/>
      <c r="B28" s="17" t="s">
        <v>644</v>
      </c>
      <c r="C28" s="7">
        <v>4</v>
      </c>
      <c r="D28" s="7">
        <v>1</v>
      </c>
      <c r="E28" s="12" t="s">
        <v>321</v>
      </c>
      <c r="F28" s="17" t="s">
        <v>322</v>
      </c>
      <c r="G28" s="8">
        <v>0</v>
      </c>
      <c r="H28" s="8">
        <v>0</v>
      </c>
      <c r="I28" s="17"/>
      <c r="J28" s="7" t="s">
        <v>89</v>
      </c>
      <c r="K28" s="7" t="s">
        <v>508</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35">
      <c r="A29" s="187"/>
      <c r="B29" s="17" t="s">
        <v>644</v>
      </c>
      <c r="C29" s="7">
        <v>5</v>
      </c>
      <c r="D29" s="7">
        <v>1</v>
      </c>
      <c r="E29" s="12" t="s">
        <v>323</v>
      </c>
      <c r="F29" s="17" t="s">
        <v>324</v>
      </c>
      <c r="G29" s="8">
        <v>0</v>
      </c>
      <c r="H29" s="8">
        <v>0</v>
      </c>
      <c r="I29" s="17"/>
      <c r="J29" s="7" t="s">
        <v>89</v>
      </c>
      <c r="K29" s="7" t="s">
        <v>509</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35">
      <c r="A30" s="187"/>
      <c r="B30" s="17" t="s">
        <v>644</v>
      </c>
      <c r="C30" s="7">
        <v>6</v>
      </c>
      <c r="D30" s="7">
        <v>1</v>
      </c>
      <c r="E30" s="12" t="s">
        <v>325</v>
      </c>
      <c r="F30" s="17" t="s">
        <v>326</v>
      </c>
      <c r="G30" s="8">
        <v>0</v>
      </c>
      <c r="H30" s="8">
        <v>0</v>
      </c>
      <c r="I30" s="17"/>
      <c r="J30" s="7" t="s">
        <v>89</v>
      </c>
      <c r="K30" s="7" t="s">
        <v>510</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35">
      <c r="A31" s="187"/>
      <c r="B31" s="17" t="s">
        <v>644</v>
      </c>
      <c r="C31" s="7">
        <v>7</v>
      </c>
      <c r="D31" s="7">
        <v>1</v>
      </c>
      <c r="E31" s="12" t="s">
        <v>327</v>
      </c>
      <c r="F31" s="17" t="s">
        <v>328</v>
      </c>
      <c r="G31" s="8">
        <v>0</v>
      </c>
      <c r="H31" s="8">
        <v>0</v>
      </c>
      <c r="I31" s="17"/>
      <c r="J31" s="7" t="s">
        <v>89</v>
      </c>
      <c r="K31" s="7" t="s">
        <v>511</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35">
      <c r="A32" s="187"/>
      <c r="B32" s="17" t="s">
        <v>644</v>
      </c>
      <c r="C32" s="7">
        <v>8</v>
      </c>
      <c r="D32" s="7">
        <v>1</v>
      </c>
      <c r="E32" s="12" t="s">
        <v>329</v>
      </c>
      <c r="F32" s="17" t="s">
        <v>330</v>
      </c>
      <c r="G32" s="8">
        <v>0</v>
      </c>
      <c r="H32" s="8">
        <v>0</v>
      </c>
      <c r="I32" s="17"/>
      <c r="J32" s="7" t="s">
        <v>89</v>
      </c>
      <c r="K32" s="7" t="s">
        <v>512</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35">
      <c r="A33" s="187"/>
      <c r="B33" s="17" t="s">
        <v>644</v>
      </c>
      <c r="C33" s="7">
        <v>9</v>
      </c>
      <c r="D33" s="7">
        <v>1</v>
      </c>
      <c r="E33" s="12" t="s">
        <v>331</v>
      </c>
      <c r="F33" s="17" t="s">
        <v>332</v>
      </c>
      <c r="G33" s="8">
        <v>0</v>
      </c>
      <c r="H33" s="8">
        <v>0</v>
      </c>
      <c r="I33" s="17"/>
      <c r="J33" s="7" t="s">
        <v>89</v>
      </c>
      <c r="K33" s="7" t="s">
        <v>513</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35">
      <c r="A34" s="187"/>
      <c r="B34" s="2" t="s">
        <v>50</v>
      </c>
      <c r="C34" s="2">
        <v>10</v>
      </c>
      <c r="D34" s="2">
        <v>1</v>
      </c>
      <c r="E34" s="13"/>
      <c r="F34" s="17" t="s">
        <v>333</v>
      </c>
      <c r="G34" s="8">
        <v>0</v>
      </c>
      <c r="H34" s="8">
        <v>0</v>
      </c>
      <c r="I34" s="17"/>
      <c r="J34" s="7"/>
      <c r="K34" s="7" t="s">
        <v>472</v>
      </c>
      <c r="L34" s="4" t="str">
        <f ca="1">IF($B34="N/A", "N/A",IF(VLOOKUP("SOFTSTRAP1_EN",INDIRECT(Config!$B$1),HLOOKUP(L$1,INDIRECT(Config!$E$1),2,FALSE),FALSE)=0,0,1))</f>
        <v>N/A</v>
      </c>
      <c r="M34" s="4" t="str">
        <f ca="1">IF($B34="N/A", "N/A",IF(VLOOKUP("SOFTSTRAP1_EN",INDIRECT(Config!$B$1),HLOOKUP(M$1,INDIRECT(Config!$E$1),2,FALSE),FALSE)=0,0,1))</f>
        <v>N/A</v>
      </c>
      <c r="N34" s="4" t="str">
        <f ca="1">IF($B34="N/A", "N/A",IF(VLOOKUP("SOFTSTRAP1_EN",INDIRECT(Config!$B$1),HLOOKUP(N$1,INDIRECT(Config!$E$1),2,FALSE),FALSE)=0,0,1))</f>
        <v>N/A</v>
      </c>
    </row>
    <row r="35" spans="1:14" x14ac:dyDescent="0.35">
      <c r="A35" s="187"/>
      <c r="B35" s="2" t="s">
        <v>50</v>
      </c>
      <c r="C35" s="2">
        <v>11</v>
      </c>
      <c r="D35" s="2">
        <v>1</v>
      </c>
      <c r="E35" s="13"/>
      <c r="F35" s="17" t="s">
        <v>334</v>
      </c>
      <c r="G35" s="8">
        <v>0</v>
      </c>
      <c r="H35" s="8">
        <v>0</v>
      </c>
      <c r="I35" s="17"/>
      <c r="J35" s="7"/>
      <c r="K35" s="7" t="s">
        <v>472</v>
      </c>
      <c r="L35" s="4" t="str">
        <f ca="1">IF($B35="N/A", "N/A",IF(VLOOKUP("SOFTSTRAP1_EN",INDIRECT(Config!$B$1),HLOOKUP(L$1,INDIRECT(Config!$E$1),2,FALSE),FALSE)=0,0,1))</f>
        <v>N/A</v>
      </c>
      <c r="M35" s="4" t="str">
        <f ca="1">IF($B35="N/A", "N/A",IF(VLOOKUP("SOFTSTRAP1_EN",INDIRECT(Config!$B$1),HLOOKUP(M$1,INDIRECT(Config!$E$1),2,FALSE),FALSE)=0,0,1))</f>
        <v>N/A</v>
      </c>
      <c r="N35" s="4" t="str">
        <f ca="1">IF($B35="N/A", "N/A",IF(VLOOKUP("SOFTSTRAP1_EN",INDIRECT(Config!$B$1),HLOOKUP(N$1,INDIRECT(Config!$E$1),2,FALSE),FALSE)=0,0,1))</f>
        <v>N/A</v>
      </c>
    </row>
    <row r="36" spans="1:14" x14ac:dyDescent="0.35">
      <c r="A36" s="187"/>
      <c r="B36" s="2" t="s">
        <v>50</v>
      </c>
      <c r="C36" s="2">
        <v>12</v>
      </c>
      <c r="D36" s="2">
        <v>1</v>
      </c>
      <c r="E36" s="13"/>
      <c r="F36" s="17" t="s">
        <v>335</v>
      </c>
      <c r="G36" s="8">
        <v>0</v>
      </c>
      <c r="H36" s="8">
        <v>0</v>
      </c>
      <c r="I36" s="17"/>
      <c r="J36" s="7"/>
      <c r="K36" s="7" t="s">
        <v>472</v>
      </c>
      <c r="L36" s="4" t="str">
        <f ca="1">IF($B36="N/A", "N/A",IF(VLOOKUP("SOFTSTRAP1_EN",INDIRECT(Config!$B$1),HLOOKUP(L$1,INDIRECT(Config!$E$1),2,FALSE),FALSE)=0,0,1))</f>
        <v>N/A</v>
      </c>
      <c r="M36" s="4" t="str">
        <f ca="1">IF($B36="N/A", "N/A",IF(VLOOKUP("SOFTSTRAP1_EN",INDIRECT(Config!$B$1),HLOOKUP(M$1,INDIRECT(Config!$E$1),2,FALSE),FALSE)=0,0,1))</f>
        <v>N/A</v>
      </c>
      <c r="N36" s="4" t="str">
        <f ca="1">IF($B36="N/A", "N/A",IF(VLOOKUP("SOFTSTRAP1_EN",INDIRECT(Config!$B$1),HLOOKUP(N$1,INDIRECT(Config!$E$1),2,FALSE),FALSE)=0,0,1))</f>
        <v>N/A</v>
      </c>
    </row>
    <row r="37" spans="1:14" x14ac:dyDescent="0.35">
      <c r="A37" s="187"/>
      <c r="B37" s="2" t="s">
        <v>50</v>
      </c>
      <c r="C37" s="2">
        <v>13</v>
      </c>
      <c r="D37" s="2">
        <v>1</v>
      </c>
      <c r="E37" s="13"/>
      <c r="F37" s="17" t="s">
        <v>336</v>
      </c>
      <c r="G37" s="8">
        <v>0</v>
      </c>
      <c r="H37" s="8">
        <v>0</v>
      </c>
      <c r="I37" s="17"/>
      <c r="J37" s="7"/>
      <c r="K37" s="7" t="s">
        <v>472</v>
      </c>
      <c r="L37" s="4" t="str">
        <f ca="1">IF($B37="N/A", "N/A",IF(VLOOKUP("SOFTSTRAP1_EN",INDIRECT(Config!$B$1),HLOOKUP(L$1,INDIRECT(Config!$E$1),2,FALSE),FALSE)=0,0,1))</f>
        <v>N/A</v>
      </c>
      <c r="M37" s="4" t="str">
        <f ca="1">IF($B37="N/A", "N/A",IF(VLOOKUP("SOFTSTRAP1_EN",INDIRECT(Config!$B$1),HLOOKUP(M$1,INDIRECT(Config!$E$1),2,FALSE),FALSE)=0,0,1))</f>
        <v>N/A</v>
      </c>
      <c r="N37" s="4" t="str">
        <f ca="1">IF($B37="N/A", "N/A",IF(VLOOKUP("SOFTSTRAP1_EN",INDIRECT(Config!$B$1),HLOOKUP(N$1,INDIRECT(Config!$E$1),2,FALSE),FALSE)=0,0,1))</f>
        <v>N/A</v>
      </c>
    </row>
    <row r="38" spans="1:14" x14ac:dyDescent="0.35">
      <c r="A38" s="187"/>
      <c r="B38" s="2" t="s">
        <v>50</v>
      </c>
      <c r="C38" s="2">
        <v>14</v>
      </c>
      <c r="D38" s="2">
        <v>1</v>
      </c>
      <c r="E38" s="13"/>
      <c r="F38" s="17" t="s">
        <v>337</v>
      </c>
      <c r="G38" s="8">
        <v>0</v>
      </c>
      <c r="H38" s="8">
        <v>0</v>
      </c>
      <c r="I38" s="17"/>
      <c r="J38" s="7"/>
      <c r="K38" s="7" t="s">
        <v>472</v>
      </c>
      <c r="L38" s="4" t="str">
        <f ca="1">IF($B38="N/A", "N/A",IF(VLOOKUP("SOFTSTRAP1_EN",INDIRECT(Config!$B$1),HLOOKUP(L$1,INDIRECT(Config!$E$1),2,FALSE),FALSE)=0,0,1))</f>
        <v>N/A</v>
      </c>
      <c r="M38" s="4" t="str">
        <f ca="1">IF($B38="N/A", "N/A",IF(VLOOKUP("SOFTSTRAP1_EN",INDIRECT(Config!$B$1),HLOOKUP(M$1,INDIRECT(Config!$E$1),2,FALSE),FALSE)=0,0,1))</f>
        <v>N/A</v>
      </c>
      <c r="N38" s="4" t="str">
        <f ca="1">IF($B38="N/A", "N/A",IF(VLOOKUP("SOFTSTRAP1_EN",INDIRECT(Config!$B$1),HLOOKUP(N$1,INDIRECT(Config!$E$1),2,FALSE),FALSE)=0,0,1))</f>
        <v>N/A</v>
      </c>
    </row>
    <row r="39" spans="1:14" x14ac:dyDescent="0.35">
      <c r="A39" s="187"/>
      <c r="B39" s="2" t="s">
        <v>50</v>
      </c>
      <c r="C39" s="2">
        <v>15</v>
      </c>
      <c r="D39" s="2">
        <v>1</v>
      </c>
      <c r="E39" s="13"/>
      <c r="F39" s="17" t="s">
        <v>338</v>
      </c>
      <c r="G39" s="8">
        <v>0</v>
      </c>
      <c r="H39" s="8">
        <v>0</v>
      </c>
      <c r="I39" s="17"/>
      <c r="J39" s="7"/>
      <c r="K39" s="7" t="s">
        <v>472</v>
      </c>
      <c r="L39" s="4" t="str">
        <f ca="1">IF($B39="N/A", "N/A",IF(VLOOKUP("SOFTSTRAP1_EN",INDIRECT(Config!$B$1),HLOOKUP(L$1,INDIRECT(Config!$E$1),2,FALSE),FALSE)=0,0,1))</f>
        <v>N/A</v>
      </c>
      <c r="M39" s="4" t="str">
        <f ca="1">IF($B39="N/A", "N/A",IF(VLOOKUP("SOFTSTRAP1_EN",INDIRECT(Config!$B$1),HLOOKUP(M$1,INDIRECT(Config!$E$1),2,FALSE),FALSE)=0,0,1))</f>
        <v>N/A</v>
      </c>
      <c r="N39" s="4" t="str">
        <f ca="1">IF($B39="N/A", "N/A",IF(VLOOKUP("SOFTSTRAP1_EN",INDIRECT(Config!$B$1),HLOOKUP(N$1,INDIRECT(Config!$E$1),2,FALSE),FALSE)=0,0,1))</f>
        <v>N/A</v>
      </c>
    </row>
    <row r="40" spans="1:14" x14ac:dyDescent="0.35">
      <c r="A40" s="187"/>
      <c r="B40" s="17" t="s">
        <v>644</v>
      </c>
      <c r="C40" s="7">
        <v>16</v>
      </c>
      <c r="D40" s="7">
        <v>1</v>
      </c>
      <c r="E40" s="12" t="s">
        <v>339</v>
      </c>
      <c r="F40" s="17" t="s">
        <v>340</v>
      </c>
      <c r="G40" s="8">
        <v>0</v>
      </c>
      <c r="H40" s="8">
        <v>0</v>
      </c>
      <c r="I40" s="17"/>
      <c r="J40" s="7" t="s">
        <v>89</v>
      </c>
      <c r="K40" s="7" t="s">
        <v>514</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5">
      <c r="A41" s="187"/>
      <c r="B41" s="2" t="s">
        <v>50</v>
      </c>
      <c r="C41" s="2">
        <v>17</v>
      </c>
      <c r="D41" s="2">
        <v>1</v>
      </c>
      <c r="E41" s="13"/>
      <c r="F41" s="17" t="s">
        <v>341</v>
      </c>
      <c r="G41" s="8">
        <v>0</v>
      </c>
      <c r="H41" s="8">
        <v>0</v>
      </c>
      <c r="I41" s="17"/>
      <c r="J41" s="7"/>
      <c r="K41" s="7" t="s">
        <v>472</v>
      </c>
      <c r="L41" s="4" t="str">
        <f ca="1">IF($B41="N/A", "N/A",IF(VLOOKUP("SOFTSTRAP1_EN",INDIRECT(Config!$B$1),HLOOKUP(L$1,INDIRECT(Config!$E$1),2,FALSE),FALSE)=0,0,1))</f>
        <v>N/A</v>
      </c>
      <c r="M41" s="4" t="str">
        <f ca="1">IF($B41="N/A", "N/A",IF(VLOOKUP("SOFTSTRAP1_EN",INDIRECT(Config!$B$1),HLOOKUP(M$1,INDIRECT(Config!$E$1),2,FALSE),FALSE)=0,0,1))</f>
        <v>N/A</v>
      </c>
      <c r="N41" s="4" t="str">
        <f ca="1">IF($B41="N/A", "N/A",IF(VLOOKUP("SOFTSTRAP1_EN",INDIRECT(Config!$B$1),HLOOKUP(N$1,INDIRECT(Config!$E$1),2,FALSE),FALSE)=0,0,1))</f>
        <v>N/A</v>
      </c>
    </row>
    <row r="42" spans="1:14" x14ac:dyDescent="0.35">
      <c r="A42" s="187"/>
      <c r="B42" s="2" t="s">
        <v>50</v>
      </c>
      <c r="C42" s="2">
        <v>18</v>
      </c>
      <c r="D42" s="2">
        <v>1</v>
      </c>
      <c r="E42" s="13"/>
      <c r="F42" s="17" t="s">
        <v>342</v>
      </c>
      <c r="G42" s="8">
        <v>0</v>
      </c>
      <c r="H42" s="8">
        <v>0</v>
      </c>
      <c r="I42" s="17"/>
      <c r="J42" s="7"/>
      <c r="K42" s="7" t="s">
        <v>472</v>
      </c>
      <c r="L42" s="4" t="str">
        <f ca="1">IF($B42="N/A", "N/A",IF(VLOOKUP("SOFTSTRAP1_EN",INDIRECT(Config!$B$1),HLOOKUP(L$1,INDIRECT(Config!$E$1),2,FALSE),FALSE)=0,0,1))</f>
        <v>N/A</v>
      </c>
      <c r="M42" s="4" t="str">
        <f ca="1">IF($B42="N/A", "N/A",IF(VLOOKUP("SOFTSTRAP1_EN",INDIRECT(Config!$B$1),HLOOKUP(M$1,INDIRECT(Config!$E$1),2,FALSE),FALSE)=0,0,1))</f>
        <v>N/A</v>
      </c>
      <c r="N42" s="4" t="str">
        <f ca="1">IF($B42="N/A", "N/A",IF(VLOOKUP("SOFTSTRAP1_EN",INDIRECT(Config!$B$1),HLOOKUP(N$1,INDIRECT(Config!$E$1),2,FALSE),FALSE)=0,0,1))</f>
        <v>N/A</v>
      </c>
    </row>
    <row r="43" spans="1:14" x14ac:dyDescent="0.35">
      <c r="A43" s="187"/>
      <c r="B43" s="17" t="s">
        <v>644</v>
      </c>
      <c r="C43" s="7">
        <v>19</v>
      </c>
      <c r="D43" s="7">
        <v>1</v>
      </c>
      <c r="E43" s="12" t="s">
        <v>343</v>
      </c>
      <c r="F43" s="17" t="s">
        <v>344</v>
      </c>
      <c r="G43" s="8">
        <v>0</v>
      </c>
      <c r="H43" s="8">
        <v>0</v>
      </c>
      <c r="I43" s="17"/>
      <c r="J43" s="7" t="s">
        <v>89</v>
      </c>
      <c r="K43" s="7" t="s">
        <v>515</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5">
      <c r="A44" s="187"/>
      <c r="B44" s="2" t="s">
        <v>50</v>
      </c>
      <c r="C44" s="2">
        <v>20</v>
      </c>
      <c r="D44" s="2">
        <v>1</v>
      </c>
      <c r="E44" s="13"/>
      <c r="F44" s="17" t="s">
        <v>345</v>
      </c>
      <c r="G44" s="8">
        <v>0</v>
      </c>
      <c r="H44" s="8">
        <v>0</v>
      </c>
      <c r="I44" s="17"/>
      <c r="J44" s="7"/>
      <c r="K44" s="7" t="s">
        <v>472</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5">
      <c r="A45" s="187"/>
      <c r="B45" s="2" t="s">
        <v>50</v>
      </c>
      <c r="C45" s="2">
        <v>21</v>
      </c>
      <c r="D45" s="2">
        <v>1</v>
      </c>
      <c r="E45" s="13"/>
      <c r="F45" s="17" t="s">
        <v>346</v>
      </c>
      <c r="G45" s="8">
        <v>0</v>
      </c>
      <c r="H45" s="8">
        <v>0</v>
      </c>
      <c r="I45" s="17"/>
      <c r="J45" s="7"/>
      <c r="K45" s="7" t="s">
        <v>472</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5">
      <c r="A46" s="187"/>
      <c r="B46" s="2" t="s">
        <v>50</v>
      </c>
      <c r="C46" s="2">
        <v>22</v>
      </c>
      <c r="D46" s="2">
        <v>1</v>
      </c>
      <c r="E46" s="13"/>
      <c r="F46" s="17" t="s">
        <v>347</v>
      </c>
      <c r="G46" s="8">
        <v>0</v>
      </c>
      <c r="H46" s="8">
        <v>0</v>
      </c>
      <c r="I46" s="17"/>
      <c r="J46" s="7"/>
      <c r="K46" s="7" t="s">
        <v>472</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5">
      <c r="A47" s="187"/>
      <c r="B47" s="2" t="s">
        <v>50</v>
      </c>
      <c r="C47" s="2">
        <v>23</v>
      </c>
      <c r="D47" s="2">
        <v>1</v>
      </c>
      <c r="E47" s="13"/>
      <c r="F47" s="17" t="s">
        <v>348</v>
      </c>
      <c r="G47" s="8">
        <v>0</v>
      </c>
      <c r="H47" s="8">
        <v>0</v>
      </c>
      <c r="I47" s="17"/>
      <c r="J47" s="7"/>
      <c r="K47" s="7" t="s">
        <v>472</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5">
      <c r="A48" s="187"/>
      <c r="B48" s="4" t="s">
        <v>628</v>
      </c>
      <c r="C48" s="7">
        <v>24</v>
      </c>
      <c r="D48" s="7">
        <v>1</v>
      </c>
      <c r="E48" s="12" t="s">
        <v>349</v>
      </c>
      <c r="F48" s="17" t="s">
        <v>350</v>
      </c>
      <c r="G48" s="8">
        <v>0</v>
      </c>
      <c r="H48" s="8">
        <v>0</v>
      </c>
      <c r="I48" s="17"/>
      <c r="J48" s="7" t="s">
        <v>89</v>
      </c>
      <c r="K48" s="7" t="s">
        <v>516</v>
      </c>
      <c r="L48" s="4">
        <f ca="1">IF($B48="N/A", "N/A",IF(VLOOKUP("SOFTSTRAP1_EN",INDIRECT(Config!$B$1),HLOOKUP(L$1,INDIRECT(Config!$E$1),2,FALSE),FALSE)=0,0,1))</f>
        <v>1</v>
      </c>
      <c r="M48" s="4">
        <f ca="1">IF($B48="N/A", "N/A",IF(VLOOKUP("SOFTSTRAP1_EN",INDIRECT(Config!$B$1),HLOOKUP(M$1,INDIRECT(Config!$E$1),2,FALSE),FALSE)=0,0,1))</f>
        <v>1</v>
      </c>
      <c r="N48" s="4">
        <f ca="1">IF($B48="N/A", "N/A",IF(VLOOKUP("SOFTSTRAP1_EN",INDIRECT(Config!$B$1),HLOOKUP(N$1,INDIRECT(Config!$E$1),2,FALSE),FALSE)=0,0,1))</f>
        <v>0</v>
      </c>
    </row>
    <row r="49" spans="1:14" x14ac:dyDescent="0.35">
      <c r="A49" s="187"/>
      <c r="B49" s="4" t="s">
        <v>628</v>
      </c>
      <c r="C49" s="7">
        <v>25</v>
      </c>
      <c r="D49" s="7">
        <v>1</v>
      </c>
      <c r="E49" s="12" t="s">
        <v>351</v>
      </c>
      <c r="F49" s="17" t="s">
        <v>352</v>
      </c>
      <c r="G49" s="8">
        <v>0</v>
      </c>
      <c r="H49" s="8">
        <v>0</v>
      </c>
      <c r="I49" s="17"/>
      <c r="J49" s="7" t="s">
        <v>89</v>
      </c>
      <c r="K49" s="7" t="s">
        <v>517</v>
      </c>
      <c r="L49" s="4">
        <f ca="1">IF($B49="N/A", "N/A",IF(VLOOKUP("SOFTSTRAP1_EN",INDIRECT(Config!$B$1),HLOOKUP(L$1,INDIRECT(Config!$E$1),2,FALSE),FALSE)=0,0,1))</f>
        <v>1</v>
      </c>
      <c r="M49" s="4">
        <f ca="1">IF($B49="N/A", "N/A",IF(VLOOKUP("SOFTSTRAP1_EN",INDIRECT(Config!$B$1),HLOOKUP(M$1,INDIRECT(Config!$E$1),2,FALSE),FALSE)=0,0,1))</f>
        <v>1</v>
      </c>
      <c r="N49" s="4">
        <f ca="1">IF($B49="N/A", "N/A",IF(VLOOKUP("SOFTSTRAP1_EN",INDIRECT(Config!$B$1),HLOOKUP(N$1,INDIRECT(Config!$E$1),2,FALSE),FALSE)=0,0,1))</f>
        <v>0</v>
      </c>
    </row>
    <row r="50" spans="1:14" x14ac:dyDescent="0.35">
      <c r="A50" s="187"/>
      <c r="B50" s="4" t="s">
        <v>628</v>
      </c>
      <c r="C50" s="7">
        <v>26</v>
      </c>
      <c r="D50" s="7">
        <v>1</v>
      </c>
      <c r="E50" s="12" t="s">
        <v>353</v>
      </c>
      <c r="F50" s="17" t="s">
        <v>354</v>
      </c>
      <c r="G50" s="8">
        <v>0</v>
      </c>
      <c r="H50" s="8">
        <v>0</v>
      </c>
      <c r="I50" s="17"/>
      <c r="J50" s="7" t="s">
        <v>89</v>
      </c>
      <c r="K50" s="7" t="s">
        <v>518</v>
      </c>
      <c r="L50" s="4">
        <f ca="1">IF($B50="N/A", "N/A",IF(VLOOKUP("SOFTSTRAP1_EN",INDIRECT(Config!$B$1),HLOOKUP(L$1,INDIRECT(Config!$E$1),2,FALSE),FALSE)=0,0,1))</f>
        <v>1</v>
      </c>
      <c r="M50" s="4">
        <f ca="1">IF($B50="N/A", "N/A",IF(VLOOKUP("SOFTSTRAP1_EN",INDIRECT(Config!$B$1),HLOOKUP(M$1,INDIRECT(Config!$E$1),2,FALSE),FALSE)=0,0,1))</f>
        <v>1</v>
      </c>
      <c r="N50" s="4">
        <f ca="1">IF($B50="N/A", "N/A",IF(VLOOKUP("SOFTSTRAP1_EN",INDIRECT(Config!$B$1),HLOOKUP(N$1,INDIRECT(Config!$E$1),2,FALSE),FALSE)=0,0,1))</f>
        <v>0</v>
      </c>
    </row>
    <row r="51" spans="1:14" x14ac:dyDescent="0.35">
      <c r="A51" s="187"/>
      <c r="B51" s="4" t="s">
        <v>628</v>
      </c>
      <c r="C51" s="7">
        <v>27</v>
      </c>
      <c r="D51" s="7">
        <v>1</v>
      </c>
      <c r="E51" s="12" t="s">
        <v>355</v>
      </c>
      <c r="F51" s="17" t="s">
        <v>356</v>
      </c>
      <c r="G51" s="8">
        <v>0</v>
      </c>
      <c r="H51" s="8">
        <v>0</v>
      </c>
      <c r="I51" s="17"/>
      <c r="J51" s="7" t="s">
        <v>89</v>
      </c>
      <c r="K51" s="7" t="s">
        <v>519</v>
      </c>
      <c r="L51" s="4">
        <f ca="1">IF($B51="N/A", "N/A",IF(VLOOKUP("SOFTSTRAP1_EN",INDIRECT(Config!$B$1),HLOOKUP(L$1,INDIRECT(Config!$E$1),2,FALSE),FALSE)=0,0,1))</f>
        <v>1</v>
      </c>
      <c r="M51" s="4">
        <f ca="1">IF($B51="N/A", "N/A",IF(VLOOKUP("SOFTSTRAP1_EN",INDIRECT(Config!$B$1),HLOOKUP(M$1,INDIRECT(Config!$E$1),2,FALSE),FALSE)=0,0,1))</f>
        <v>1</v>
      </c>
      <c r="N51" s="4">
        <f ca="1">IF($B51="N/A", "N/A",IF(VLOOKUP("SOFTSTRAP1_EN",INDIRECT(Config!$B$1),HLOOKUP(N$1,INDIRECT(Config!$E$1),2,FALSE),FALSE)=0,0,1))</f>
        <v>0</v>
      </c>
    </row>
    <row r="52" spans="1:14" x14ac:dyDescent="0.35">
      <c r="A52" s="187"/>
      <c r="B52" s="4" t="s">
        <v>628</v>
      </c>
      <c r="C52" s="7">
        <v>28</v>
      </c>
      <c r="D52" s="7">
        <v>1</v>
      </c>
      <c r="E52" s="12" t="s">
        <v>357</v>
      </c>
      <c r="F52" s="17" t="s">
        <v>358</v>
      </c>
      <c r="G52" s="8">
        <v>0</v>
      </c>
      <c r="H52" s="8">
        <v>0</v>
      </c>
      <c r="I52" s="17"/>
      <c r="J52" s="7" t="s">
        <v>89</v>
      </c>
      <c r="K52" s="7" t="s">
        <v>520</v>
      </c>
      <c r="L52" s="4">
        <f ca="1">IF($B52="N/A", "N/A",IF(VLOOKUP("SOFTSTRAP1_EN",INDIRECT(Config!$B$1),HLOOKUP(L$1,INDIRECT(Config!$E$1),2,FALSE),FALSE)=0,0,1))</f>
        <v>1</v>
      </c>
      <c r="M52" s="4">
        <f ca="1">IF($B52="N/A", "N/A",IF(VLOOKUP("SOFTSTRAP1_EN",INDIRECT(Config!$B$1),HLOOKUP(M$1,INDIRECT(Config!$E$1),2,FALSE),FALSE)=0,0,1))</f>
        <v>1</v>
      </c>
      <c r="N52" s="4">
        <f ca="1">IF($B52="N/A", "N/A",IF(VLOOKUP("SOFTSTRAP1_EN",INDIRECT(Config!$B$1),HLOOKUP(N$1,INDIRECT(Config!$E$1),2,FALSE),FALSE)=0,0,1))</f>
        <v>0</v>
      </c>
    </row>
    <row r="53" spans="1:14" x14ac:dyDescent="0.35">
      <c r="A53" s="187"/>
      <c r="B53" s="4" t="s">
        <v>628</v>
      </c>
      <c r="C53" s="7">
        <v>29</v>
      </c>
      <c r="D53" s="7">
        <v>1</v>
      </c>
      <c r="E53" s="12" t="s">
        <v>359</v>
      </c>
      <c r="F53" s="17" t="s">
        <v>360</v>
      </c>
      <c r="G53" s="8">
        <v>0</v>
      </c>
      <c r="H53" s="8">
        <v>0</v>
      </c>
      <c r="I53" s="17"/>
      <c r="J53" s="7" t="s">
        <v>89</v>
      </c>
      <c r="K53" s="7" t="s">
        <v>521</v>
      </c>
      <c r="L53" s="4">
        <f ca="1">IF($B53="N/A", "N/A",IF(VLOOKUP("SOFTSTRAP1_EN",INDIRECT(Config!$B$1),HLOOKUP(L$1,INDIRECT(Config!$E$1),2,FALSE),FALSE)=0,0,1))</f>
        <v>1</v>
      </c>
      <c r="M53" s="4">
        <f ca="1">IF($B53="N/A", "N/A",IF(VLOOKUP("SOFTSTRAP1_EN",INDIRECT(Config!$B$1),HLOOKUP(M$1,INDIRECT(Config!$E$1),2,FALSE),FALSE)=0,0,1))</f>
        <v>1</v>
      </c>
      <c r="N53" s="4">
        <f ca="1">IF($B53="N/A", "N/A",IF(VLOOKUP("SOFTSTRAP1_EN",INDIRECT(Config!$B$1),HLOOKUP(N$1,INDIRECT(Config!$E$1),2,FALSE),FALSE)=0,0,1))</f>
        <v>0</v>
      </c>
    </row>
    <row r="54" spans="1:14" x14ac:dyDescent="0.35">
      <c r="A54" s="187"/>
      <c r="B54" s="4" t="s">
        <v>628</v>
      </c>
      <c r="C54" s="7">
        <v>30</v>
      </c>
      <c r="D54" s="7">
        <v>1</v>
      </c>
      <c r="E54" s="12" t="s">
        <v>361</v>
      </c>
      <c r="F54" s="17" t="s">
        <v>362</v>
      </c>
      <c r="G54" s="8">
        <v>0</v>
      </c>
      <c r="H54" s="8">
        <v>0</v>
      </c>
      <c r="I54" s="17"/>
      <c r="J54" s="7" t="s">
        <v>89</v>
      </c>
      <c r="K54" s="7" t="s">
        <v>522</v>
      </c>
      <c r="L54" s="4">
        <f ca="1">IF($B54="N/A", "N/A",IF(VLOOKUP("SOFTSTRAP1_EN",INDIRECT(Config!$B$1),HLOOKUP(L$1,INDIRECT(Config!$E$1),2,FALSE),FALSE)=0,0,1))</f>
        <v>1</v>
      </c>
      <c r="M54" s="4">
        <f ca="1">IF($B54="N/A", "N/A",IF(VLOOKUP("SOFTSTRAP1_EN",INDIRECT(Config!$B$1),HLOOKUP(M$1,INDIRECT(Config!$E$1),2,FALSE),FALSE)=0,0,1))</f>
        <v>1</v>
      </c>
      <c r="N54" s="4">
        <f ca="1">IF($B54="N/A", "N/A",IF(VLOOKUP("SOFTSTRAP1_EN",INDIRECT(Config!$B$1),HLOOKUP(N$1,INDIRECT(Config!$E$1),2,FALSE),FALSE)=0,0,1))</f>
        <v>0</v>
      </c>
    </row>
    <row r="55" spans="1:14" x14ac:dyDescent="0.35">
      <c r="A55" s="175"/>
      <c r="B55" s="4" t="s">
        <v>628</v>
      </c>
      <c r="C55" s="7">
        <v>31</v>
      </c>
      <c r="D55" s="7">
        <v>1</v>
      </c>
      <c r="E55" s="12" t="s">
        <v>363</v>
      </c>
      <c r="F55" s="17" t="s">
        <v>364</v>
      </c>
      <c r="G55" s="8">
        <v>0</v>
      </c>
      <c r="H55" s="8">
        <v>0</v>
      </c>
      <c r="I55" s="17"/>
      <c r="J55" s="7" t="s">
        <v>89</v>
      </c>
      <c r="K55" s="7" t="s">
        <v>523</v>
      </c>
      <c r="L55" s="4">
        <f ca="1">IF($B55="N/A", "N/A",IF(VLOOKUP("SOFTSTRAP1_EN",INDIRECT(Config!$B$1),HLOOKUP(L$1,INDIRECT(Config!$E$1),2,FALSE),FALSE)=0,0,1))</f>
        <v>1</v>
      </c>
      <c r="M55" s="4">
        <f ca="1">IF($B55="N/A", "N/A",IF(VLOOKUP("SOFTSTRAP1_EN",INDIRECT(Config!$B$1),HLOOKUP(M$1,INDIRECT(Config!$E$1),2,FALSE),FALSE)=0,0,1))</f>
        <v>1</v>
      </c>
      <c r="N55" s="4">
        <f ca="1">IF($B55="N/A", "N/A",IF(VLOOKUP("SOFTSTRAP1_EN",INDIRECT(Config!$B$1),HLOOKUP(N$1,INDIRECT(Config!$E$1),2,FALSE),FALSE)=0,0,1))</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5" x14ac:dyDescent="0.35"/>
  <cols>
    <col min="2" max="2" width="62.54296875" bestFit="1" customWidth="1"/>
    <col min="3" max="3" width="65.54296875" bestFit="1" customWidth="1"/>
    <col min="5" max="5" width="67.453125" style="76" customWidth="1"/>
  </cols>
  <sheetData>
    <row r="1" spans="1:5" s="16" customFormat="1" ht="18.5" x14ac:dyDescent="0.45">
      <c r="A1" s="126" t="s">
        <v>615</v>
      </c>
      <c r="B1" s="126" t="s">
        <v>616</v>
      </c>
      <c r="C1" s="126" t="s">
        <v>618</v>
      </c>
      <c r="D1" s="126" t="s">
        <v>617</v>
      </c>
      <c r="E1" s="127" t="s">
        <v>436</v>
      </c>
    </row>
    <row r="2" spans="1:5" x14ac:dyDescent="0.35">
      <c r="A2" s="206">
        <v>0</v>
      </c>
      <c r="B2" s="77" t="s">
        <v>590</v>
      </c>
      <c r="C2" s="17">
        <v>0</v>
      </c>
      <c r="D2" s="17"/>
      <c r="E2" s="78"/>
    </row>
    <row r="3" spans="1:5" x14ac:dyDescent="0.35">
      <c r="A3" s="206"/>
      <c r="B3" s="17" t="s">
        <v>591</v>
      </c>
      <c r="C3" s="17">
        <v>8</v>
      </c>
      <c r="D3" s="17"/>
      <c r="E3" s="78"/>
    </row>
    <row r="4" spans="1:5" x14ac:dyDescent="0.35">
      <c r="A4" s="206"/>
      <c r="B4" s="125" t="s">
        <v>597</v>
      </c>
      <c r="C4" s="125" t="s">
        <v>598</v>
      </c>
      <c r="D4" s="17"/>
      <c r="E4" s="78"/>
    </row>
    <row r="5" spans="1:5" x14ac:dyDescent="0.35">
      <c r="A5" s="206"/>
      <c r="B5" s="17" t="s">
        <v>599</v>
      </c>
      <c r="C5" s="17" t="s">
        <v>600</v>
      </c>
      <c r="D5" s="17"/>
      <c r="E5" s="78"/>
    </row>
    <row r="6" spans="1:5" x14ac:dyDescent="0.35">
      <c r="A6" s="206"/>
      <c r="B6" s="17" t="s">
        <v>601</v>
      </c>
      <c r="C6" s="17" t="s">
        <v>602</v>
      </c>
      <c r="D6" s="17"/>
      <c r="E6" s="78"/>
    </row>
    <row r="7" spans="1:5" x14ac:dyDescent="0.35">
      <c r="A7" s="206"/>
      <c r="B7" s="17" t="s">
        <v>603</v>
      </c>
      <c r="C7" s="17" t="s">
        <v>604</v>
      </c>
      <c r="D7" s="17"/>
      <c r="E7" s="78"/>
    </row>
    <row r="8" spans="1:5" ht="72.5" x14ac:dyDescent="0.35">
      <c r="A8" s="206">
        <v>1</v>
      </c>
      <c r="B8" s="124" t="s">
        <v>432</v>
      </c>
      <c r="C8" s="17">
        <v>11</v>
      </c>
      <c r="D8" s="17"/>
      <c r="E8" s="78" t="s">
        <v>608</v>
      </c>
    </row>
    <row r="9" spans="1:5" x14ac:dyDescent="0.35">
      <c r="A9" s="206"/>
      <c r="B9" s="124" t="s">
        <v>594</v>
      </c>
      <c r="C9" s="17">
        <v>0</v>
      </c>
      <c r="D9" s="17"/>
      <c r="E9" s="78" t="s">
        <v>612</v>
      </c>
    </row>
    <row r="10" spans="1:5" x14ac:dyDescent="0.35">
      <c r="A10" s="206"/>
      <c r="B10" s="124" t="s">
        <v>595</v>
      </c>
      <c r="C10" s="17">
        <v>0</v>
      </c>
      <c r="D10" s="17"/>
      <c r="E10" s="78" t="s">
        <v>398</v>
      </c>
    </row>
    <row r="11" spans="1:5" x14ac:dyDescent="0.35">
      <c r="A11" s="206"/>
      <c r="B11" s="124" t="s">
        <v>605</v>
      </c>
      <c r="C11" s="17">
        <v>7</v>
      </c>
      <c r="D11" s="17"/>
      <c r="E11" s="78"/>
    </row>
    <row r="12" spans="1:5" x14ac:dyDescent="0.35">
      <c r="A12" s="206"/>
      <c r="B12" s="124" t="s">
        <v>606</v>
      </c>
      <c r="C12" s="17" t="s">
        <v>607</v>
      </c>
      <c r="D12" s="17"/>
      <c r="E12" s="78"/>
    </row>
    <row r="13" spans="1:5" x14ac:dyDescent="0.35">
      <c r="A13" s="206"/>
      <c r="B13" s="17" t="s">
        <v>402</v>
      </c>
      <c r="C13" s="17"/>
      <c r="D13" s="17"/>
      <c r="E13" s="78"/>
    </row>
    <row r="14" spans="1:5" x14ac:dyDescent="0.35">
      <c r="A14" s="206"/>
      <c r="B14" s="17" t="s">
        <v>209</v>
      </c>
      <c r="C14" s="17"/>
      <c r="D14" s="17"/>
      <c r="E14" s="78"/>
    </row>
    <row r="15" spans="1:5" x14ac:dyDescent="0.35">
      <c r="A15" s="206"/>
      <c r="B15" s="17" t="s">
        <v>592</v>
      </c>
      <c r="C15" s="17" t="s">
        <v>593</v>
      </c>
      <c r="D15" s="17"/>
      <c r="E15" s="78"/>
    </row>
    <row r="16" spans="1:5" x14ac:dyDescent="0.35">
      <c r="A16" s="206"/>
      <c r="B16" s="17" t="s">
        <v>611</v>
      </c>
      <c r="C16" s="17"/>
      <c r="D16" s="17"/>
      <c r="E16" s="78"/>
    </row>
    <row r="17" spans="1:5" x14ac:dyDescent="0.35">
      <c r="A17" s="206">
        <v>2</v>
      </c>
      <c r="B17" s="125" t="s">
        <v>579</v>
      </c>
      <c r="C17" s="125">
        <v>128</v>
      </c>
      <c r="D17" s="17" t="s">
        <v>610</v>
      </c>
      <c r="E17" s="78"/>
    </row>
    <row r="18" spans="1:5" x14ac:dyDescent="0.35">
      <c r="A18" s="206"/>
      <c r="B18" s="125" t="s">
        <v>573</v>
      </c>
      <c r="C18" s="125" t="s">
        <v>576</v>
      </c>
      <c r="D18" s="17"/>
      <c r="E18" s="78"/>
    </row>
    <row r="19" spans="1:5" x14ac:dyDescent="0.35">
      <c r="A19" s="206"/>
      <c r="B19" s="17" t="s">
        <v>574</v>
      </c>
      <c r="C19" s="17" t="s">
        <v>575</v>
      </c>
      <c r="D19" s="17"/>
      <c r="E19" s="78"/>
    </row>
    <row r="20" spans="1:5" x14ac:dyDescent="0.35">
      <c r="A20" s="206"/>
      <c r="B20" s="17" t="s">
        <v>577</v>
      </c>
      <c r="C20" s="17" t="s">
        <v>578</v>
      </c>
      <c r="D20" s="17"/>
      <c r="E20" s="78"/>
    </row>
    <row r="21" spans="1:5" x14ac:dyDescent="0.35">
      <c r="A21" s="206">
        <v>3</v>
      </c>
      <c r="B21" s="125" t="s">
        <v>580</v>
      </c>
      <c r="C21" s="125" t="s">
        <v>581</v>
      </c>
      <c r="D21" s="17"/>
      <c r="E21" s="78"/>
    </row>
    <row r="22" spans="1:5" x14ac:dyDescent="0.35">
      <c r="A22" s="206"/>
      <c r="B22" s="125" t="s">
        <v>582</v>
      </c>
      <c r="C22" s="125" t="s">
        <v>583</v>
      </c>
      <c r="D22" s="17"/>
      <c r="E22" s="78"/>
    </row>
    <row r="23" spans="1:5" x14ac:dyDescent="0.35">
      <c r="A23" s="206"/>
      <c r="B23" s="17" t="s">
        <v>584</v>
      </c>
      <c r="C23" s="17" t="s">
        <v>585</v>
      </c>
      <c r="D23" s="17"/>
      <c r="E23" s="78"/>
    </row>
    <row r="24" spans="1:5" x14ac:dyDescent="0.35">
      <c r="A24" s="206"/>
      <c r="B24" s="17" t="s">
        <v>586</v>
      </c>
      <c r="C24" s="17" t="s">
        <v>587</v>
      </c>
      <c r="D24" s="17"/>
      <c r="E24" s="78"/>
    </row>
    <row r="25" spans="1:5" x14ac:dyDescent="0.35">
      <c r="A25" s="206">
        <v>4</v>
      </c>
      <c r="B25" s="124" t="s">
        <v>588</v>
      </c>
      <c r="C25" s="124" t="s">
        <v>589</v>
      </c>
      <c r="D25" s="17"/>
      <c r="E25" s="78"/>
    </row>
    <row r="26" spans="1:5" x14ac:dyDescent="0.35">
      <c r="A26" s="206"/>
      <c r="B26" s="124" t="s">
        <v>433</v>
      </c>
      <c r="C26" s="17">
        <v>2</v>
      </c>
      <c r="D26" s="17"/>
      <c r="E26" s="78" t="s">
        <v>609</v>
      </c>
    </row>
    <row r="27" spans="1:5" x14ac:dyDescent="0.35">
      <c r="A27" s="206"/>
      <c r="B27" s="124" t="s">
        <v>596</v>
      </c>
      <c r="C27" s="17"/>
      <c r="D27" s="17"/>
      <c r="E27" s="78"/>
    </row>
    <row r="28" spans="1:5" s="16" customFormat="1" x14ac:dyDescent="0.35">
      <c r="E28" s="76"/>
    </row>
    <row r="36" spans="2:2" x14ac:dyDescent="0.35">
      <c r="B36" t="s">
        <v>614</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a555451d-518f-4a10-969e-f3a9a0f123ff"/>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3.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GetGroup1</vt:lpstr>
      <vt:lpstr>MTL-SOC-M CSME</vt:lpstr>
      <vt:lpstr>MTL-SOC-M ESE</vt:lpstr>
      <vt:lpstr>MTL-SOC-M GSC</vt:lpstr>
      <vt:lpstr>Group0</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2020-03-30T22:59:21Z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2020-03-30 22:59:21Z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