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hreadedComments/threadedComment4.xml" ContentType="application/vnd.ms-excel.threadedcomments+xml"/>
  <Override PartName="/xl/comments12.xml" ContentType="application/vnd.openxmlformats-officedocument.spreadsheetml.comments+xml"/>
  <Override PartName="/xl/threadedComments/threadedComment5.xml" ContentType="application/vnd.ms-excel.threaded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1DD46A39-78A2-49ED-9AF1-C74F07568258}" xr6:coauthVersionLast="45" xr6:coauthVersionMax="45" xr10:uidLastSave="{00000000-0000-0000-0000-000000000000}"/>
  <bookViews>
    <workbookView xWindow="-28920" yWindow="-120" windowWidth="29040" windowHeight="15840" activeTab="1" xr2:uid="{2B594C35-F97C-4EE0-A0C6-60F0B7EACB17}"/>
  </bookViews>
  <sheets>
    <sheet name="Revision" sheetId="33" r:id="rId1"/>
    <sheet name="ConfigNew" sheetId="31" r:id="rId2"/>
    <sheet name="CSxE_ESE_GSC_FuseCfg_1" sheetId="39" r:id="rId3"/>
    <sheet name="CSxE_ESE_GSC_FuseCfg" sheetId="32" r:id="rId4"/>
    <sheet name="difference" sheetId="36" r:id="rId5"/>
    <sheet name="Elasti_CSC_review_new" sheetId="34" r:id="rId6"/>
    <sheet name="Sheet1" sheetId="40" r:id="rId7"/>
    <sheet name="Elasti_GSC_review" sheetId="35" r:id="rId8"/>
    <sheet name="Config" sheetId="12" r:id="rId9"/>
    <sheet name="LookUp" sheetId="24" r:id="rId10"/>
    <sheet name="GetGroup1" sheetId="26" r:id="rId11"/>
    <sheet name="MTL-SOC-M CSME" sheetId="27" r:id="rId12"/>
    <sheet name="MTL-SOC-M ESE" sheetId="28" r:id="rId13"/>
    <sheet name="MTL-SOC-M GSC" sheetId="29" r:id="rId14"/>
    <sheet name="Group0" sheetId="21" r:id="rId15"/>
    <sheet name="Group1 (GSC)" sheetId="30" r:id="rId16"/>
    <sheet name="Group1" sheetId="7" r:id="rId17"/>
    <sheet name="Group2,3" sheetId="15" r:id="rId18"/>
    <sheet name="Softstrap" sheetId="8" r:id="rId19"/>
    <sheet name="MISC" sheetId="17" r:id="rId20"/>
  </sheets>
  <functionGroups builtInGroupCount="19"/>
  <definedNames>
    <definedName name="_xlnm._FilterDatabase" localSheetId="5" hidden="1">Elasti_CSC_review_new!$A$1:$H$89</definedName>
    <definedName name="_xlnm._FilterDatabase" localSheetId="7" hidden="1">Elasti_GSC_review!$A$1:$I$89</definedName>
    <definedName name="_xlnm._FilterDatabase" localSheetId="16" hidden="1">Group1!$A$1:$Q$107</definedName>
    <definedName name="_xlnm._FilterDatabase" localSheetId="15" hidden="1">'Group1 (GSC)'!$A$1:$R$107</definedName>
    <definedName name="_xlnm._FilterDatabase" localSheetId="18"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36" l="1"/>
  <c r="B5" i="36"/>
  <c r="B6" i="36"/>
  <c r="B7" i="36"/>
  <c r="B8" i="36"/>
  <c r="B9" i="36"/>
  <c r="B10" i="36"/>
  <c r="B11" i="36"/>
  <c r="B12" i="36"/>
  <c r="B13" i="36"/>
  <c r="B14" i="36"/>
  <c r="B15" i="36"/>
  <c r="B16" i="36"/>
  <c r="B17" i="36"/>
  <c r="B18" i="36"/>
  <c r="B19" i="36"/>
  <c r="B20" i="36"/>
  <c r="B21" i="36"/>
  <c r="B22" i="36"/>
  <c r="B23" i="36"/>
  <c r="B24" i="36"/>
  <c r="B25" i="36"/>
  <c r="B26" i="36"/>
  <c r="B27" i="36"/>
  <c r="B28" i="36"/>
  <c r="B29" i="36"/>
  <c r="B30" i="36"/>
  <c r="B31" i="36"/>
  <c r="B32" i="36"/>
  <c r="B33" i="36"/>
  <c r="B34" i="36"/>
  <c r="B35" i="36"/>
  <c r="B36" i="36"/>
  <c r="B37" i="36"/>
  <c r="B38" i="36"/>
  <c r="B39" i="36"/>
  <c r="B40" i="36"/>
  <c r="B41" i="36"/>
  <c r="B42" i="36"/>
  <c r="B43" i="36"/>
  <c r="B44" i="36"/>
  <c r="B45" i="36"/>
  <c r="B46" i="36"/>
  <c r="B47" i="36"/>
  <c r="B48" i="36"/>
  <c r="B49" i="36"/>
  <c r="B50" i="36"/>
  <c r="B51" i="36"/>
  <c r="B52" i="36"/>
  <c r="B53" i="36"/>
  <c r="B54" i="36"/>
  <c r="B55" i="36"/>
  <c r="B56" i="36"/>
  <c r="B57" i="36"/>
  <c r="B58" i="36"/>
  <c r="B59" i="36"/>
  <c r="B60" i="36"/>
  <c r="B61" i="36"/>
  <c r="B62" i="36"/>
  <c r="B63" i="36"/>
  <c r="B64" i="36"/>
  <c r="B65" i="36"/>
  <c r="B66" i="36"/>
  <c r="B67" i="36"/>
  <c r="B68" i="36"/>
  <c r="B69" i="36"/>
  <c r="B70" i="36"/>
  <c r="B71" i="36"/>
  <c r="B72" i="36"/>
  <c r="B73" i="36"/>
  <c r="B74" i="36"/>
  <c r="B75" i="36"/>
  <c r="B76" i="36"/>
  <c r="B77" i="36"/>
  <c r="B78" i="36"/>
  <c r="B79" i="36"/>
  <c r="B80" i="36"/>
  <c r="B81" i="36"/>
  <c r="B82" i="36"/>
  <c r="B83" i="36"/>
  <c r="B84" i="36"/>
  <c r="B85" i="36"/>
  <c r="B86" i="36"/>
  <c r="B87" i="36"/>
  <c r="B88" i="36"/>
  <c r="B89" i="36"/>
  <c r="B90" i="36"/>
  <c r="B91" i="36"/>
  <c r="B92" i="36"/>
  <c r="B93" i="36"/>
  <c r="B94" i="36"/>
  <c r="B95" i="36"/>
  <c r="B96" i="36"/>
  <c r="B97" i="36"/>
  <c r="B98" i="36"/>
  <c r="B99" i="36"/>
  <c r="B100" i="36"/>
  <c r="B101" i="36"/>
  <c r="B102" i="36"/>
  <c r="B103" i="36"/>
  <c r="B104" i="36"/>
  <c r="B105" i="36"/>
  <c r="B106" i="36"/>
  <c r="B107" i="36"/>
  <c r="B108" i="36"/>
  <c r="B109" i="36"/>
  <c r="B110" i="36"/>
  <c r="B111" i="36"/>
  <c r="B112" i="36"/>
  <c r="B113" i="36"/>
  <c r="B114" i="36"/>
  <c r="B115" i="36"/>
  <c r="B116" i="36"/>
  <c r="B117" i="36"/>
  <c r="B118" i="36"/>
  <c r="B119" i="36"/>
  <c r="B120" i="36"/>
  <c r="B3" i="36"/>
  <c r="A3" i="36"/>
  <c r="A79" i="36"/>
  <c r="A80" i="36"/>
  <c r="A81" i="36"/>
  <c r="A82" i="36"/>
  <c r="A83" i="36"/>
  <c r="A84" i="36"/>
  <c r="A85" i="36"/>
  <c r="A86" i="36"/>
  <c r="A87" i="36"/>
  <c r="A88" i="36"/>
  <c r="A89" i="36"/>
  <c r="A90" i="36"/>
  <c r="A91" i="36"/>
  <c r="A92" i="36"/>
  <c r="A93" i="36"/>
  <c r="A94" i="36"/>
  <c r="A95" i="36"/>
  <c r="A96" i="36"/>
  <c r="A97" i="36"/>
  <c r="A98" i="36"/>
  <c r="A99" i="36"/>
  <c r="A100" i="36"/>
  <c r="A101" i="36"/>
  <c r="A102" i="36"/>
  <c r="A103" i="36"/>
  <c r="A104" i="36"/>
  <c r="A105" i="36"/>
  <c r="A106" i="36"/>
  <c r="A107" i="36"/>
  <c r="A108" i="36"/>
  <c r="A109" i="36"/>
  <c r="A110" i="36"/>
  <c r="A111" i="36"/>
  <c r="A112" i="36"/>
  <c r="A113" i="36"/>
  <c r="A114" i="36"/>
  <c r="A115" i="36"/>
  <c r="A116" i="36"/>
  <c r="A117" i="36"/>
  <c r="A118" i="36"/>
  <c r="A119" i="36"/>
  <c r="A120" i="36"/>
  <c r="A4" i="36"/>
  <c r="A5" i="36"/>
  <c r="A6" i="36"/>
  <c r="A7" i="36"/>
  <c r="A8" i="36"/>
  <c r="A9" i="36"/>
  <c r="A10" i="36"/>
  <c r="A11" i="36"/>
  <c r="A12" i="36"/>
  <c r="A13" i="36"/>
  <c r="A14" i="36"/>
  <c r="A15" i="36"/>
  <c r="A16" i="36"/>
  <c r="A17" i="36"/>
  <c r="A18" i="36"/>
  <c r="A19" i="36"/>
  <c r="A20" i="36"/>
  <c r="A21" i="36"/>
  <c r="A22" i="36"/>
  <c r="A23" i="36"/>
  <c r="A24" i="36"/>
  <c r="A25" i="36"/>
  <c r="A26" i="36"/>
  <c r="A27" i="36"/>
  <c r="A28" i="36"/>
  <c r="A29" i="36"/>
  <c r="A30" i="36"/>
  <c r="A31" i="36"/>
  <c r="A32" i="36"/>
  <c r="A33" i="36"/>
  <c r="A34" i="36"/>
  <c r="A35" i="36"/>
  <c r="A36" i="36"/>
  <c r="A37" i="36"/>
  <c r="A38" i="36"/>
  <c r="A39" i="36"/>
  <c r="A40" i="36"/>
  <c r="A41" i="36"/>
  <c r="A42" i="36"/>
  <c r="A43" i="36"/>
  <c r="A44" i="36"/>
  <c r="A45" i="36"/>
  <c r="A46" i="36"/>
  <c r="A47" i="36"/>
  <c r="A48" i="36"/>
  <c r="A49" i="36"/>
  <c r="A50" i="36"/>
  <c r="A51" i="36"/>
  <c r="A52" i="36"/>
  <c r="A53" i="36"/>
  <c r="A54" i="36"/>
  <c r="A55" i="36"/>
  <c r="A56" i="36"/>
  <c r="A57" i="36"/>
  <c r="A58" i="36"/>
  <c r="A59" i="36"/>
  <c r="A60" i="36"/>
  <c r="A61" i="36"/>
  <c r="A62" i="36"/>
  <c r="A63" i="36"/>
  <c r="A64" i="36"/>
  <c r="A65" i="36"/>
  <c r="A66" i="36"/>
  <c r="A67" i="36"/>
  <c r="A68" i="36"/>
  <c r="A69" i="36"/>
  <c r="A70" i="36"/>
  <c r="A71" i="36"/>
  <c r="A72" i="36"/>
  <c r="A73" i="36"/>
  <c r="A74" i="36"/>
  <c r="A75" i="36"/>
  <c r="A76" i="36"/>
  <c r="A77" i="36"/>
  <c r="A78" i="36"/>
  <c r="J50" i="39" l="1"/>
  <c r="J44" i="39"/>
  <c r="J38" i="39"/>
  <c r="N89" i="31"/>
  <c r="O43" i="31"/>
  <c r="O44" i="31"/>
  <c r="O45" i="31"/>
  <c r="O30" i="31"/>
  <c r="O31" i="31"/>
  <c r="O32" i="31"/>
  <c r="O33" i="31"/>
  <c r="O34" i="31"/>
  <c r="O35" i="31"/>
  <c r="O36" i="31"/>
  <c r="O37" i="31"/>
  <c r="O38" i="31"/>
  <c r="O39" i="31"/>
  <c r="O40" i="31"/>
  <c r="O41" i="31"/>
  <c r="O8" i="31"/>
  <c r="O9" i="31"/>
  <c r="O10" i="31"/>
  <c r="O11" i="31"/>
  <c r="O12" i="31"/>
  <c r="O13" i="31"/>
  <c r="O14" i="31"/>
  <c r="O15" i="31"/>
  <c r="O17" i="31"/>
  <c r="O18" i="31"/>
  <c r="O19" i="31"/>
  <c r="O20" i="31"/>
  <c r="O23" i="31"/>
  <c r="O24" i="31"/>
  <c r="O25" i="31"/>
  <c r="O26" i="31"/>
  <c r="O27" i="31"/>
  <c r="O28" i="31"/>
  <c r="O29" i="31"/>
  <c r="O7" i="31"/>
  <c r="N8" i="31"/>
  <c r="N9" i="31"/>
  <c r="N10" i="31"/>
  <c r="N11" i="31"/>
  <c r="N12" i="31"/>
  <c r="N13" i="31"/>
  <c r="N14" i="31"/>
  <c r="N15" i="31"/>
  <c r="N17" i="31"/>
  <c r="N18" i="31"/>
  <c r="N19" i="31"/>
  <c r="N20" i="31"/>
  <c r="N23" i="31"/>
  <c r="N24" i="31"/>
  <c r="N25" i="31"/>
  <c r="N26" i="31"/>
  <c r="N27" i="31"/>
  <c r="N28" i="31"/>
  <c r="N29" i="31"/>
  <c r="N30" i="31"/>
  <c r="N31" i="31"/>
  <c r="N32" i="31"/>
  <c r="N33" i="31"/>
  <c r="N34" i="31"/>
  <c r="N35" i="31"/>
  <c r="N36" i="31"/>
  <c r="N37" i="31"/>
  <c r="N38" i="31"/>
  <c r="N39" i="31"/>
  <c r="N40" i="31"/>
  <c r="N41" i="31"/>
  <c r="N43" i="31"/>
  <c r="N44" i="31"/>
  <c r="N45"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J38" i="32" l="1"/>
  <c r="J44" i="32"/>
  <c r="J50" i="3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P34" i="30"/>
  <c r="P109" i="30"/>
  <c r="Q22" i="30"/>
  <c r="P119" i="30"/>
  <c r="Q43" i="30"/>
  <c r="R14" i="30"/>
  <c r="P49" i="30"/>
  <c r="Q29" i="30"/>
  <c r="P30" i="30"/>
  <c r="Q20" i="30"/>
  <c r="P59" i="30"/>
  <c r="Q59" i="30"/>
  <c r="R22" i="30"/>
  <c r="Q108" i="30"/>
  <c r="R92" i="30"/>
  <c r="P48" i="30"/>
  <c r="R114" i="30"/>
  <c r="P14" i="30"/>
  <c r="Q51" i="30"/>
  <c r="Q11" i="30"/>
  <c r="R37" i="30"/>
  <c r="R112" i="30"/>
  <c r="Q38" i="30"/>
  <c r="R15" i="30"/>
  <c r="R109" i="30"/>
  <c r="R120" i="30"/>
  <c r="P32" i="30"/>
  <c r="R47" i="30"/>
  <c r="P6" i="30"/>
  <c r="R74" i="30"/>
  <c r="P78" i="30"/>
  <c r="P55" i="30"/>
  <c r="P47" i="30"/>
  <c r="Q33" i="30"/>
  <c r="P4" i="30"/>
  <c r="P40" i="30"/>
  <c r="P75" i="30"/>
  <c r="R102" i="30"/>
  <c r="R27" i="30"/>
  <c r="P100" i="30"/>
  <c r="P96" i="30"/>
  <c r="R33" i="30"/>
  <c r="P115" i="30"/>
  <c r="Q123" i="30"/>
  <c r="Q36" i="30"/>
  <c r="R40" i="30"/>
  <c r="P41" i="30"/>
  <c r="P92" i="30"/>
  <c r="Q30" i="30"/>
  <c r="Q121" i="30"/>
  <c r="R98" i="30"/>
  <c r="Q54" i="30"/>
  <c r="Q117" i="30"/>
  <c r="Q78" i="30"/>
  <c r="Q34" i="30"/>
  <c r="P82" i="30"/>
  <c r="P38" i="30"/>
  <c r="Q81" i="30"/>
  <c r="P17" i="30"/>
  <c r="P112" i="30"/>
  <c r="Q27" i="30"/>
  <c r="Q14" i="30"/>
  <c r="Q6" i="30"/>
  <c r="R28" i="30"/>
  <c r="P23" i="30"/>
  <c r="Q92" i="30"/>
  <c r="R121" i="30"/>
  <c r="P27" i="30"/>
  <c r="Q47" i="30"/>
  <c r="Q91" i="30"/>
  <c r="P99" i="30"/>
  <c r="R12" i="30"/>
  <c r="P101" i="30"/>
  <c r="Q113" i="30"/>
  <c r="Q75" i="30"/>
  <c r="P110" i="30"/>
  <c r="R38" i="30"/>
  <c r="R21" i="30"/>
  <c r="R25" i="30"/>
  <c r="Q48" i="30"/>
  <c r="P54" i="30"/>
  <c r="Q17" i="30"/>
  <c r="Q7" i="30"/>
  <c r="R75" i="30"/>
  <c r="Q103" i="30"/>
  <c r="P58" i="30"/>
  <c r="R44" i="30"/>
  <c r="R116" i="30"/>
  <c r="P93" i="30"/>
  <c r="Q111" i="30"/>
  <c r="R97" i="30"/>
  <c r="Q114" i="30"/>
  <c r="Q13" i="30"/>
  <c r="Q49" i="30"/>
  <c r="Q112" i="30"/>
  <c r="P102" i="30"/>
  <c r="R50" i="30"/>
  <c r="Q77" i="30"/>
  <c r="R17" i="30"/>
  <c r="R122" i="30"/>
  <c r="P117" i="30"/>
  <c r="R30" i="30"/>
  <c r="R113" i="30"/>
  <c r="P53" i="30"/>
  <c r="Q95" i="30"/>
  <c r="R95" i="30"/>
  <c r="Q4" i="30"/>
  <c r="Q94" i="30"/>
  <c r="P22" i="30"/>
  <c r="Q96" i="30"/>
  <c r="R26" i="30"/>
  <c r="R78" i="30"/>
  <c r="R96" i="30"/>
  <c r="P111" i="30"/>
  <c r="Q50" i="30"/>
  <c r="P51" i="30"/>
  <c r="R34" i="30"/>
  <c r="Q28" i="30"/>
  <c r="Q119" i="30"/>
  <c r="R36" i="30"/>
  <c r="Q102" i="30"/>
  <c r="Q122" i="30"/>
  <c r="P56" i="30"/>
  <c r="P80" i="30"/>
  <c r="R46" i="30"/>
  <c r="Q115" i="30"/>
  <c r="Q61" i="30"/>
  <c r="P13" i="30"/>
  <c r="R99" i="30"/>
  <c r="R91" i="30"/>
  <c r="P122" i="30"/>
  <c r="P28" i="30"/>
  <c r="R83" i="30"/>
  <c r="R90" i="30"/>
  <c r="P124" i="30"/>
  <c r="R56" i="30"/>
  <c r="P90" i="30"/>
  <c r="R23" i="30"/>
  <c r="R32" i="30"/>
  <c r="R118" i="30"/>
  <c r="P24" i="30"/>
  <c r="P113" i="30"/>
  <c r="R123" i="30"/>
  <c r="R54" i="30"/>
  <c r="P11" i="30"/>
  <c r="R43" i="30"/>
  <c r="R94" i="30"/>
  <c r="Q109" i="30"/>
  <c r="R29" i="30"/>
  <c r="P44" i="30"/>
  <c r="Q90" i="30"/>
  <c r="R6" i="30"/>
  <c r="Q40" i="30"/>
  <c r="Q98" i="30"/>
  <c r="P123" i="30"/>
  <c r="P81" i="30"/>
  <c r="P50" i="30"/>
  <c r="R88" i="30"/>
  <c r="R77" i="30"/>
  <c r="Q93" i="30"/>
  <c r="Q55" i="30"/>
  <c r="R108" i="30"/>
  <c r="P37" i="30"/>
  <c r="P98" i="30"/>
  <c r="R60" i="30"/>
  <c r="P97" i="30"/>
  <c r="R111" i="30"/>
  <c r="P20" i="30"/>
  <c r="P120" i="30"/>
  <c r="Q80" i="30"/>
  <c r="P83" i="30"/>
  <c r="R119" i="30"/>
  <c r="P94" i="30"/>
  <c r="P26" i="30"/>
  <c r="R124" i="30"/>
  <c r="P77" i="30"/>
  <c r="Q32" i="30"/>
  <c r="Q21" i="30"/>
  <c r="R24" i="30"/>
  <c r="P116" i="30"/>
  <c r="Q120" i="30"/>
  <c r="Q15" i="30"/>
  <c r="Q53" i="30"/>
  <c r="Q41" i="30"/>
  <c r="R117" i="30"/>
  <c r="R11" i="30"/>
  <c r="R81" i="30"/>
  <c r="R125" i="30"/>
  <c r="R52" i="30"/>
  <c r="P108" i="30"/>
  <c r="Q58" i="30"/>
  <c r="P33" i="30"/>
  <c r="P29" i="30"/>
  <c r="Q52" i="30"/>
  <c r="P95" i="30"/>
  <c r="P43" i="30"/>
  <c r="R110" i="30"/>
  <c r="R82" i="30"/>
  <c r="Q118" i="30"/>
  <c r="P25" i="30"/>
  <c r="Q83" i="30"/>
  <c r="Q12" i="30"/>
  <c r="Q46" i="30"/>
  <c r="Q26" i="30"/>
  <c r="Q44" i="30"/>
  <c r="R80" i="30"/>
  <c r="R51" i="30"/>
  <c r="R93" i="30"/>
  <c r="Q56" i="30"/>
  <c r="P15" i="30"/>
  <c r="R59" i="30"/>
  <c r="Q60" i="30"/>
  <c r="R41" i="30"/>
  <c r="P121" i="30"/>
  <c r="P46" i="30"/>
  <c r="Q82" i="30"/>
  <c r="R13" i="30"/>
  <c r="Q110" i="30"/>
  <c r="Q116" i="30"/>
  <c r="P60" i="30"/>
  <c r="P88" i="30"/>
  <c r="R58" i="30"/>
  <c r="Q74" i="30"/>
  <c r="Q125" i="30"/>
  <c r="P114" i="30"/>
  <c r="Q97" i="30"/>
  <c r="P12" i="30"/>
  <c r="P91" i="30"/>
  <c r="R53" i="30"/>
  <c r="R61" i="30"/>
  <c r="R48" i="30"/>
  <c r="P21" i="30"/>
  <c r="R55" i="30"/>
  <c r="Q100" i="30"/>
  <c r="Q88" i="30"/>
  <c r="Q101" i="30"/>
  <c r="Q25" i="30"/>
  <c r="Q23" i="30"/>
  <c r="R101" i="30"/>
  <c r="Q124" i="30"/>
  <c r="P7" i="30"/>
  <c r="R20" i="30"/>
  <c r="P52" i="30"/>
  <c r="Q37" i="30"/>
  <c r="Q99" i="30"/>
  <c r="P118" i="30"/>
  <c r="P103" i="30"/>
  <c r="Q24" i="30"/>
  <c r="P36" i="30"/>
  <c r="R100" i="30"/>
  <c r="R103" i="30"/>
  <c r="P125" i="30"/>
  <c r="P61" i="30"/>
  <c r="P74" i="30"/>
  <c r="R4" i="30"/>
  <c r="R115" i="30"/>
  <c r="R7" i="30"/>
  <c r="R49" i="30"/>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37" i="24"/>
  <c r="G20" i="29"/>
  <c r="L18" i="27"/>
  <c r="G35" i="28"/>
  <c r="L10" i="24"/>
  <c r="F11" i="21"/>
  <c r="G7" i="27"/>
  <c r="G9" i="15"/>
  <c r="L29" i="28"/>
  <c r="L4" i="24"/>
  <c r="L22" i="27"/>
  <c r="G41" i="29"/>
  <c r="G34" i="27"/>
  <c r="G12" i="24"/>
  <c r="G34" i="29"/>
  <c r="G35" i="27"/>
  <c r="G41" i="28"/>
  <c r="L17" i="29"/>
  <c r="L15" i="24"/>
  <c r="G4" i="27"/>
  <c r="G28" i="28"/>
  <c r="G32" i="28"/>
  <c r="G7" i="24"/>
  <c r="G21" i="29"/>
  <c r="G10" i="15"/>
  <c r="L13" i="27"/>
  <c r="L34" i="27"/>
  <c r="G5" i="27"/>
  <c r="G4" i="24"/>
  <c r="G3" i="27"/>
  <c r="F9" i="21"/>
  <c r="G19" i="28"/>
  <c r="G19" i="27"/>
  <c r="G40" i="29"/>
  <c r="G22" i="27"/>
  <c r="G7" i="29"/>
  <c r="L37" i="27"/>
  <c r="L30" i="27"/>
  <c r="G33" i="27"/>
  <c r="G37" i="27"/>
  <c r="G11" i="28"/>
  <c r="L14" i="28"/>
  <c r="G20" i="28"/>
  <c r="G39" i="29"/>
  <c r="L16" i="29"/>
  <c r="L41" i="27"/>
  <c r="G37" i="28"/>
  <c r="L16" i="24"/>
  <c r="L18" i="28"/>
  <c r="L5" i="28"/>
  <c r="L18" i="24"/>
  <c r="L39" i="27"/>
  <c r="G3" i="29"/>
  <c r="G11" i="15"/>
  <c r="Q78" i="7"/>
  <c r="L32" i="28"/>
  <c r="L23" i="28"/>
  <c r="L29" i="27"/>
  <c r="F8" i="21"/>
  <c r="G26" i="28"/>
  <c r="L19" i="28"/>
  <c r="L7" i="24"/>
  <c r="G21" i="27"/>
  <c r="G7" i="28"/>
  <c r="Q4" i="7"/>
  <c r="L21" i="28"/>
  <c r="G10" i="29"/>
  <c r="O11" i="7"/>
  <c r="G13" i="15"/>
  <c r="O4" i="7"/>
  <c r="G18" i="29"/>
  <c r="L15" i="28"/>
  <c r="G29" i="28"/>
  <c r="L12" i="27"/>
  <c r="G40" i="28"/>
  <c r="G32" i="29"/>
  <c r="G8" i="24"/>
  <c r="L11" i="24"/>
  <c r="L24" i="24"/>
  <c r="L10" i="27"/>
  <c r="L13" i="24"/>
  <c r="L21" i="27"/>
  <c r="F13" i="21"/>
  <c r="G28" i="29"/>
  <c r="G22" i="29"/>
  <c r="G12" i="15"/>
  <c r="G3" i="24"/>
  <c r="L21" i="24"/>
  <c r="G4" i="29"/>
  <c r="G13" i="24"/>
  <c r="G13" i="28"/>
  <c r="G32" i="24"/>
  <c r="G33" i="29"/>
  <c r="L3" i="27"/>
  <c r="G41" i="27"/>
  <c r="G38" i="29"/>
  <c r="G25" i="28"/>
  <c r="G38" i="28"/>
  <c r="L17" i="24"/>
  <c r="G8" i="15"/>
  <c r="G42" i="27"/>
  <c r="G38" i="27"/>
  <c r="L36" i="28"/>
  <c r="O90" i="7"/>
  <c r="G36" i="29"/>
  <c r="L8" i="28"/>
  <c r="G25" i="27"/>
  <c r="L17" i="28"/>
  <c r="G23" i="29"/>
  <c r="L31" i="28"/>
  <c r="G18" i="28"/>
  <c r="G31" i="29"/>
  <c r="L12" i="28"/>
  <c r="L35" i="27"/>
  <c r="L9" i="28"/>
  <c r="G32" i="27"/>
  <c r="L5" i="24"/>
  <c r="G33" i="28"/>
  <c r="G23" i="28"/>
  <c r="G11" i="27"/>
  <c r="L24" i="29"/>
  <c r="L17" i="27"/>
  <c r="G18" i="27"/>
  <c r="G11" i="29"/>
  <c r="G12" i="27"/>
  <c r="G8" i="28"/>
  <c r="L11" i="28"/>
  <c r="G10" i="28"/>
  <c r="G10" i="27"/>
  <c r="G26" i="29"/>
  <c r="G42" i="28"/>
  <c r="O78" i="7"/>
  <c r="L7" i="27"/>
  <c r="L31" i="27"/>
  <c r="G36" i="27"/>
  <c r="L37" i="28"/>
  <c r="F17" i="21"/>
  <c r="G9" i="24"/>
  <c r="G35" i="29"/>
  <c r="L14" i="29"/>
  <c r="G6" i="27"/>
  <c r="G4" i="28"/>
  <c r="G12" i="29"/>
  <c r="P78" i="7"/>
  <c r="G37" i="29"/>
  <c r="F7" i="21"/>
  <c r="G13" i="29"/>
  <c r="G30" i="29"/>
  <c r="G9" i="28"/>
  <c r="G30" i="27"/>
  <c r="G22" i="28"/>
  <c r="G5" i="24"/>
  <c r="G13" i="27"/>
  <c r="L20" i="24"/>
  <c r="G8" i="29"/>
  <c r="G42" i="24"/>
  <c r="G5" i="29"/>
  <c r="L20" i="27"/>
  <c r="Q11" i="7"/>
  <c r="L6" i="27"/>
  <c r="L3" i="24"/>
  <c r="G8" i="27"/>
  <c r="G12" i="28"/>
  <c r="G9" i="29"/>
  <c r="G34" i="28"/>
  <c r="G28" i="27"/>
  <c r="L11" i="2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41" i="29"/>
  <c r="L30" i="28"/>
  <c r="F5" i="21"/>
  <c r="L13" i="29"/>
  <c r="L35" i="29"/>
  <c r="G39" i="27"/>
  <c r="L32" i="29"/>
  <c r="G31" i="28"/>
  <c r="L15" i="29"/>
  <c r="L6" i="24"/>
  <c r="L15" i="27"/>
  <c r="L11" i="29"/>
  <c r="F10" i="21"/>
  <c r="L31" i="29"/>
  <c r="L3" i="29"/>
  <c r="G11" i="24"/>
  <c r="L4" i="27"/>
  <c r="L22" i="24"/>
  <c r="L10" i="29"/>
  <c r="L22" i="28"/>
  <c r="L8" i="29"/>
  <c r="G26" i="27"/>
  <c r="G3" i="28"/>
  <c r="L40" i="27"/>
  <c r="L32" i="27"/>
  <c r="F15" i="21"/>
  <c r="N57" i="8"/>
  <c r="L23" i="24"/>
  <c r="L35" i="28"/>
  <c r="F3" i="21"/>
  <c r="G19" i="29"/>
  <c r="L24" i="28"/>
  <c r="L10" i="28"/>
  <c r="L21" i="29"/>
  <c r="L12" i="24"/>
  <c r="L39" i="28"/>
  <c r="G10" i="24"/>
  <c r="L3" i="28"/>
  <c r="G5" i="28"/>
  <c r="L23" i="27"/>
  <c r="L19" i="27"/>
  <c r="G29" i="27"/>
  <c r="M57" i="8"/>
  <c r="L57" i="8"/>
  <c r="L34" i="28"/>
  <c r="G40" i="27"/>
  <c r="G9" i="27"/>
  <c r="L9" i="24"/>
  <c r="G30" i="28"/>
  <c r="G23" i="27"/>
  <c r="P11" i="7"/>
  <c r="G6" i="28"/>
  <c r="L8" i="24"/>
  <c r="G36" i="28"/>
  <c r="L16" i="27"/>
  <c r="L19" i="24"/>
  <c r="L22" i="29"/>
  <c r="L40" i="28"/>
  <c r="L39" i="29"/>
  <c r="L5" i="29"/>
  <c r="L4" i="29"/>
  <c r="L20" i="29"/>
  <c r="G20" i="27"/>
  <c r="L24" i="27"/>
  <c r="L40" i="29"/>
  <c r="L7" i="29"/>
  <c r="G25" i="29"/>
  <c r="G31" i="27"/>
  <c r="F14" i="21"/>
  <c r="G42" i="29"/>
  <c r="G21" i="28"/>
  <c r="L41" i="28"/>
  <c r="L34" i="29"/>
  <c r="L8" i="27"/>
  <c r="L42" i="27"/>
  <c r="G6" i="24"/>
  <c r="P4" i="7"/>
  <c r="L42" i="28"/>
  <c r="L9" i="29"/>
  <c r="G39" i="28"/>
  <c r="L9" i="27"/>
  <c r="L12" i="29"/>
  <c r="F16" i="21"/>
  <c r="L6" i="28"/>
  <c r="L14" i="27"/>
  <c r="L16" i="28"/>
  <c r="F12" i="21"/>
  <c r="L13" i="28"/>
  <c r="F6" i="21"/>
  <c r="L7" i="28"/>
  <c r="L36" i="29"/>
  <c r="L4" i="28"/>
  <c r="L14" i="24"/>
  <c r="F4" i="21"/>
  <c r="L5" i="27"/>
  <c r="L30" i="29"/>
  <c r="L20" i="28"/>
  <c r="L37" i="29"/>
  <c r="G6" i="29"/>
  <c r="L36" i="27"/>
  <c r="G29" i="29"/>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77" i="7"/>
  <c r="L61" i="8"/>
  <c r="L31" i="24"/>
  <c r="P120" i="7"/>
  <c r="Q28" i="7"/>
  <c r="Q74" i="7"/>
  <c r="O120" i="7"/>
  <c r="O47" i="7"/>
  <c r="O99" i="7"/>
  <c r="G19" i="24"/>
  <c r="Q92" i="7"/>
  <c r="G6" i="15"/>
  <c r="P109" i="7"/>
  <c r="Q48" i="7"/>
  <c r="P59" i="7"/>
  <c r="M19" i="8"/>
  <c r="Q81" i="7"/>
  <c r="Q124" i="7"/>
  <c r="N42" i="8"/>
  <c r="O122" i="7"/>
  <c r="N19" i="8"/>
  <c r="Q101" i="7"/>
  <c r="G25" i="24"/>
  <c r="Q46" i="7"/>
  <c r="L13" i="8"/>
  <c r="M12" i="8"/>
  <c r="O119" i="7"/>
  <c r="O124" i="7"/>
  <c r="Q96" i="7"/>
  <c r="P30" i="7"/>
  <c r="N50" i="8"/>
  <c r="O38" i="7"/>
  <c r="P102" i="7"/>
  <c r="L36" i="24"/>
  <c r="P103" i="7"/>
  <c r="O20" i="7"/>
  <c r="K16" i="21"/>
  <c r="Q52" i="7"/>
  <c r="P20" i="7"/>
  <c r="P77" i="7"/>
  <c r="Q24" i="7"/>
  <c r="L31" i="8"/>
  <c r="Q54" i="7"/>
  <c r="Q36" i="7"/>
  <c r="Q6" i="7"/>
  <c r="Q20" i="7"/>
  <c r="G31" i="24"/>
  <c r="P40" i="7"/>
  <c r="P123" i="7"/>
  <c r="O54" i="7"/>
  <c r="G23" i="24"/>
  <c r="P88" i="7"/>
  <c r="N11" i="8"/>
  <c r="P99" i="7"/>
  <c r="Q44" i="7"/>
  <c r="Q32" i="7"/>
  <c r="L37" i="8"/>
  <c r="L39" i="24"/>
  <c r="Q119" i="7"/>
  <c r="P43" i="7"/>
  <c r="N34" i="8"/>
  <c r="Q90" i="7"/>
  <c r="N58" i="8"/>
  <c r="P52" i="7"/>
  <c r="N23" i="8"/>
  <c r="Q102" i="7"/>
  <c r="P44" i="7"/>
  <c r="P111" i="7"/>
  <c r="L32" i="24"/>
  <c r="Q123" i="7"/>
  <c r="L3" i="8"/>
  <c r="Q116" i="7"/>
  <c r="K6" i="21"/>
  <c r="Q49" i="7"/>
  <c r="K10" i="21"/>
  <c r="Q95" i="7"/>
  <c r="O96" i="7"/>
  <c r="P13" i="7"/>
  <c r="Q113" i="7"/>
  <c r="G18" i="24"/>
  <c r="O113" i="7"/>
  <c r="Q40" i="7"/>
  <c r="N8" i="8"/>
  <c r="O110" i="7"/>
  <c r="Q41" i="7"/>
  <c r="O12" i="7"/>
  <c r="M33" i="8"/>
  <c r="M36" i="8"/>
  <c r="O46" i="7"/>
  <c r="M58" i="8"/>
  <c r="N37" i="8"/>
  <c r="L37" i="24"/>
  <c r="O50" i="7"/>
  <c r="O22" i="7"/>
  <c r="M63" i="8"/>
  <c r="O7" i="7"/>
  <c r="O109" i="7"/>
  <c r="O115" i="7"/>
  <c r="O95" i="7"/>
  <c r="Q23" i="7"/>
  <c r="L34" i="24"/>
  <c r="Q114" i="7"/>
  <c r="L29" i="24"/>
  <c r="N6" i="8"/>
  <c r="O40" i="7"/>
  <c r="M22" i="8"/>
  <c r="Q17" i="7"/>
  <c r="N40" i="8"/>
  <c r="P17" i="7"/>
  <c r="O61" i="7"/>
  <c r="Q13" i="7"/>
  <c r="K9" i="21"/>
  <c r="P83" i="7"/>
  <c r="O88" i="7"/>
  <c r="P55" i="7"/>
  <c r="O49" i="7"/>
  <c r="P112" i="7"/>
  <c r="P124" i="7"/>
  <c r="K7" i="21"/>
  <c r="P14" i="7"/>
  <c r="P97" i="7"/>
  <c r="O51" i="7"/>
  <c r="M37" i="8"/>
  <c r="L11" i="8"/>
  <c r="Q109" i="7"/>
  <c r="N43" i="8"/>
  <c r="O112" i="7"/>
  <c r="Q38" i="7"/>
  <c r="O59" i="7"/>
  <c r="O102" i="7"/>
  <c r="M62" i="8"/>
  <c r="P115" i="7"/>
  <c r="P6" i="7"/>
  <c r="G29" i="24"/>
  <c r="M61" i="8"/>
  <c r="M35" i="8"/>
  <c r="Q111" i="7"/>
  <c r="P36" i="7"/>
  <c r="P74" i="7"/>
  <c r="L35" i="24"/>
  <c r="P49" i="7"/>
  <c r="O58" i="7"/>
  <c r="L60" i="8"/>
  <c r="M6" i="8"/>
  <c r="N36" i="8"/>
  <c r="L50" i="8"/>
  <c r="K14" i="21"/>
  <c r="N61" i="8"/>
  <c r="O53" i="7"/>
  <c r="O27" i="7"/>
  <c r="P118" i="7"/>
  <c r="P33" i="7"/>
  <c r="Q50" i="7"/>
  <c r="P24" i="7"/>
  <c r="G41" i="24"/>
  <c r="Q97" i="7"/>
  <c r="P21" i="7"/>
  <c r="L2" i="8"/>
  <c r="P114" i="7"/>
  <c r="O56" i="7"/>
  <c r="M40" i="8"/>
  <c r="P29" i="7"/>
  <c r="L18" i="29"/>
  <c r="P60" i="7"/>
  <c r="K12" i="21"/>
  <c r="L33" i="8"/>
  <c r="O83" i="7"/>
  <c r="G5" i="15"/>
  <c r="M3" i="8"/>
  <c r="Q14" i="7"/>
  <c r="O29" i="7"/>
  <c r="L41" i="24"/>
  <c r="P61" i="7"/>
  <c r="P37" i="7"/>
  <c r="M53" i="8"/>
  <c r="G3" i="15"/>
  <c r="L40" i="8"/>
  <c r="M32" i="8"/>
  <c r="Q99" i="7"/>
  <c r="N41" i="8"/>
  <c r="Q34" i="7"/>
  <c r="O101" i="7"/>
  <c r="M18" i="8"/>
  <c r="O123" i="7"/>
  <c r="O41" i="7"/>
  <c r="L65" i="8"/>
  <c r="P122" i="7"/>
  <c r="N2" i="8"/>
  <c r="P90" i="7"/>
  <c r="N22" i="8"/>
  <c r="N39" i="8"/>
  <c r="Q122" i="7"/>
  <c r="O26" i="7"/>
  <c r="M43" i="8"/>
  <c r="Q88" i="7"/>
  <c r="P91" i="7"/>
  <c r="G30" i="24"/>
  <c r="G35" i="24"/>
  <c r="P7" i="7"/>
  <c r="L59" i="8"/>
  <c r="N7" i="8"/>
  <c r="M59" i="8"/>
  <c r="O74" i="7"/>
  <c r="G36" i="24"/>
  <c r="Q117" i="7"/>
  <c r="N59" i="8"/>
  <c r="P100" i="7"/>
  <c r="Q53" i="7"/>
  <c r="G28" i="24"/>
  <c r="L53" i="8"/>
  <c r="M60" i="8"/>
  <c r="O116" i="7"/>
  <c r="N62" i="8"/>
  <c r="N4" i="8"/>
  <c r="P125" i="7"/>
  <c r="P26" i="7"/>
  <c r="Q51" i="7"/>
  <c r="L6" i="29"/>
  <c r="P48" i="7"/>
  <c r="P81" i="7"/>
  <c r="L40" i="24"/>
  <c r="Q30" i="7"/>
  <c r="L8" i="8"/>
  <c r="Q12" i="7"/>
  <c r="O111" i="7"/>
  <c r="O108" i="7"/>
  <c r="Q108" i="7"/>
  <c r="Q47" i="7"/>
  <c r="O15" i="7"/>
  <c r="P50" i="7"/>
  <c r="L42" i="29"/>
  <c r="Q55" i="7"/>
  <c r="O80" i="7"/>
  <c r="M38" i="8"/>
  <c r="O55" i="7"/>
  <c r="Q98" i="7"/>
  <c r="Q91" i="7"/>
  <c r="L23" i="29"/>
  <c r="O103" i="7"/>
  <c r="M41" i="8"/>
  <c r="G40" i="24"/>
  <c r="L43" i="8"/>
  <c r="L9" i="8"/>
  <c r="P82" i="7"/>
  <c r="O17" i="7"/>
  <c r="N3" i="8"/>
  <c r="Q37" i="7"/>
  <c r="Q110" i="7"/>
  <c r="Q61" i="7"/>
  <c r="M50" i="8"/>
  <c r="O81" i="7"/>
  <c r="L63" i="8"/>
  <c r="G33" i="24"/>
  <c r="L19" i="8"/>
  <c r="P58" i="7"/>
  <c r="O75" i="7"/>
  <c r="L23" i="8"/>
  <c r="P94" i="7"/>
  <c r="L41" i="8"/>
  <c r="Q94" i="7"/>
  <c r="Q25" i="7"/>
  <c r="N38" i="8"/>
  <c r="Q29" i="7"/>
  <c r="O121" i="7"/>
  <c r="M8" i="8"/>
  <c r="K17" i="21"/>
  <c r="M42" i="8"/>
  <c r="P46" i="7"/>
  <c r="L19" i="29"/>
  <c r="P108" i="7"/>
  <c r="Q56" i="7"/>
  <c r="P80" i="7"/>
  <c r="N63" i="8"/>
  <c r="P96" i="7"/>
  <c r="M13" i="8"/>
  <c r="L29" i="29"/>
  <c r="G38" i="24"/>
  <c r="L34" i="8"/>
  <c r="P51" i="7"/>
  <c r="P75" i="7"/>
  <c r="N65" i="8"/>
  <c r="G34" i="24"/>
  <c r="K15" i="21"/>
  <c r="N32" i="8"/>
  <c r="Q120" i="7"/>
  <c r="P28" i="7"/>
  <c r="O48" i="7"/>
  <c r="Q77" i="7"/>
  <c r="K4" i="21"/>
  <c r="P116" i="7"/>
  <c r="P95" i="7"/>
  <c r="L64" i="8"/>
  <c r="M9" i="8"/>
  <c r="G7" i="15"/>
  <c r="Q7" i="7"/>
  <c r="P121" i="7"/>
  <c r="O125" i="7"/>
  <c r="L38" i="8"/>
  <c r="O30" i="7"/>
  <c r="M39" i="8"/>
  <c r="P98" i="7"/>
  <c r="L7" i="8"/>
  <c r="O91" i="7"/>
  <c r="P15" i="7"/>
  <c r="Q22" i="7"/>
  <c r="O82" i="7"/>
  <c r="Q115" i="7"/>
  <c r="N31" i="8"/>
  <c r="N12" i="8"/>
  <c r="O52" i="7"/>
  <c r="P53" i="7"/>
  <c r="G21" i="24"/>
  <c r="P47" i="7"/>
  <c r="G22" i="24"/>
  <c r="O92" i="7"/>
  <c r="G4" i="15"/>
  <c r="L42" i="8"/>
  <c r="L32" i="8"/>
  <c r="Q15" i="7"/>
  <c r="P117" i="7"/>
  <c r="G26" i="24"/>
  <c r="O97" i="7"/>
  <c r="L39" i="8"/>
  <c r="Q33" i="7"/>
  <c r="K5" i="21"/>
  <c r="P92" i="7"/>
  <c r="P110" i="7"/>
  <c r="M31" i="8"/>
  <c r="N35" i="8"/>
  <c r="M34" i="8"/>
  <c r="L18" i="8"/>
  <c r="O37" i="7"/>
  <c r="P32" i="7"/>
  <c r="L12" i="8"/>
  <c r="O98" i="7"/>
  <c r="P54" i="7"/>
  <c r="P101" i="7"/>
  <c r="L35" i="8"/>
  <c r="Q75" i="7"/>
  <c r="O33" i="7"/>
  <c r="O44" i="7"/>
  <c r="O117" i="7"/>
  <c r="O6" i="7"/>
  <c r="Q83" i="7"/>
  <c r="L22" i="8"/>
  <c r="M23" i="8"/>
  <c r="P27" i="7"/>
  <c r="Q125" i="7"/>
  <c r="P113" i="7"/>
  <c r="P23" i="7"/>
  <c r="L30" i="24"/>
  <c r="O93" i="7"/>
  <c r="M2" i="8"/>
  <c r="Q80" i="7"/>
  <c r="N33" i="8"/>
  <c r="Q82" i="7"/>
  <c r="N18" i="8"/>
  <c r="L6" i="8"/>
  <c r="M4" i="8"/>
  <c r="O21" i="7"/>
  <c r="G20" i="24"/>
  <c r="P41" i="7"/>
  <c r="Q21" i="7"/>
  <c r="O94" i="7"/>
  <c r="Q103" i="7"/>
  <c r="L36" i="8"/>
  <c r="Q121" i="7"/>
  <c r="Q112" i="7"/>
  <c r="P38" i="7"/>
  <c r="M7" i="8"/>
  <c r="O24" i="7"/>
  <c r="P22" i="7"/>
  <c r="Q100" i="7"/>
  <c r="Q59" i="7"/>
  <c r="Q27" i="7"/>
  <c r="O114" i="7"/>
  <c r="M64" i="8"/>
  <c r="Q118" i="7"/>
  <c r="P25" i="7"/>
  <c r="N9" i="8"/>
  <c r="P93" i="7"/>
  <c r="O32" i="7"/>
  <c r="O60" i="7"/>
  <c r="P12" i="7"/>
  <c r="Q58" i="7"/>
  <c r="N60" i="8"/>
  <c r="L62" i="8"/>
  <c r="P56" i="7"/>
  <c r="P119" i="7"/>
  <c r="O100" i="7"/>
  <c r="O23" i="7"/>
  <c r="Q43" i="7"/>
  <c r="Q26" i="7"/>
  <c r="N64" i="8"/>
  <c r="L4" i="8"/>
  <c r="O34" i="7"/>
  <c r="O28" i="7"/>
  <c r="M11" i="8"/>
  <c r="M65" i="8"/>
  <c r="L42" i="24"/>
  <c r="N53" i="8"/>
  <c r="Q60" i="7"/>
  <c r="Q93" i="7"/>
  <c r="N13" i="8"/>
  <c r="O118" i="7"/>
  <c r="L58" i="8"/>
  <c r="O13" i="7"/>
  <c r="O43" i="7"/>
  <c r="K11" i="21"/>
  <c r="O14" i="7"/>
  <c r="G39" i="24"/>
  <c r="O25" i="7"/>
  <c r="P34" i="7"/>
  <c r="O36"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tc={FC90B090-EC07-4CF0-B57A-24B816C8E269}</author>
    <author>tc={075E0309-8EF5-4731-AB74-41411E933874}</author>
    <author>Kakeda, Masahide</author>
    <author>tc={AAD9B433-651F-4766-B13B-C310CF9DAF9A}</author>
    <author>tc={B51941D4-79EC-472C-A636-C26ED3F4EA38}</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A16" authorId="0" shapeId="0" xr:uid="{59ADA0B1-3155-41DF-B3AD-F24465260321}">
      <text>
        <r>
          <rPr>
            <b/>
            <sz val="9"/>
            <color indexed="81"/>
            <rFont val="Tahoma"/>
            <family val="2"/>
          </rPr>
          <t>Shui, Yaxin:</t>
        </r>
        <r>
          <rPr>
            <sz val="9"/>
            <color indexed="81"/>
            <rFont val="Tahoma"/>
            <family val="2"/>
          </rPr>
          <t xml:space="preserve">
parmeter _DIS parity issue. 1:remove or fuse vale to be "1" to disable the feature</t>
        </r>
      </text>
    </comment>
    <comment ref="H17" authorId="0" shapeId="0" xr:uid="{0282FF5C-8E85-4B22-91E1-648E209327AC}">
      <text>
        <r>
          <rPr>
            <b/>
            <sz val="9"/>
            <color indexed="81"/>
            <rFont val="Tahoma"/>
            <family val="2"/>
          </rPr>
          <t>Shui, Yaxin:</t>
        </r>
        <r>
          <rPr>
            <sz val="9"/>
            <color indexed="81"/>
            <rFont val="Tahoma"/>
            <family val="2"/>
          </rPr>
          <t xml:space="preserve">
No HSIO support from MTL</t>
        </r>
      </text>
    </comment>
    <comment ref="A22" authorId="0" shapeId="0" xr:uid="{3A21E0C4-5559-4F38-B15B-4CEC3A9A8253}">
      <text>
        <r>
          <rPr>
            <b/>
            <sz val="9"/>
            <color indexed="81"/>
            <rFont val="Tahoma"/>
            <family val="2"/>
          </rPr>
          <t>Shui, Yaxin:</t>
        </r>
        <r>
          <rPr>
            <sz val="9"/>
            <color indexed="81"/>
            <rFont val="Tahoma"/>
            <family val="2"/>
          </rPr>
          <t xml:space="preserve">
not be used</t>
        </r>
      </text>
    </comment>
    <comment ref="A23"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4" authorId="0" shapeId="0" xr:uid="{1AC05216-6731-4FA5-B5C8-8689142B6FF2}">
      <text>
        <r>
          <rPr>
            <b/>
            <sz val="9"/>
            <color indexed="81"/>
            <rFont val="Tahoma"/>
            <family val="2"/>
          </rPr>
          <t>Shui, Yaxin:</t>
        </r>
        <r>
          <rPr>
            <sz val="9"/>
            <color indexed="81"/>
            <rFont val="Tahoma"/>
            <family val="2"/>
          </rPr>
          <t xml:space="preserve">
ISH is in PCH, not in SOC</t>
        </r>
      </text>
    </comment>
    <comment ref="H26"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28"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5"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6"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H38" authorId="0" shapeId="0" xr:uid="{22A3189F-1C71-4E97-95E7-F8EB892CF050}">
      <text>
        <r>
          <rPr>
            <b/>
            <sz val="9"/>
            <color indexed="81"/>
            <rFont val="Tahoma"/>
            <family val="2"/>
          </rPr>
          <t>Shui, Yaxin:</t>
        </r>
        <r>
          <rPr>
            <sz val="9"/>
            <color indexed="81"/>
            <rFont val="Tahoma"/>
            <family val="2"/>
          </rPr>
          <t xml:space="preserve">
same as ADP-S, BUF</t>
        </r>
      </text>
    </comment>
    <comment ref="A42"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4"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55" authorId="0" shapeId="0" xr:uid="{95BB4A08-A73D-4DCD-9447-FED542986EA3}">
      <text>
        <r>
          <rPr>
            <b/>
            <sz val="9"/>
            <color indexed="81"/>
            <rFont val="Tahoma"/>
            <family val="2"/>
          </rPr>
          <t>Shui, Yaxin:</t>
        </r>
        <r>
          <rPr>
            <sz val="9"/>
            <color indexed="81"/>
            <rFont val="Tahoma"/>
            <family val="2"/>
          </rPr>
          <t xml:space="preserve">
Chaitu : need from FW team</t>
        </r>
      </text>
    </comment>
    <comment ref="H59" authorId="0" shapeId="0" xr:uid="{E1C7C11F-004D-4E5E-8427-92E7D0AF5088}">
      <text>
        <r>
          <rPr>
            <b/>
            <sz val="9"/>
            <color indexed="81"/>
            <rFont val="Tahoma"/>
            <family val="2"/>
          </rPr>
          <t>Shui, Yaxin:</t>
        </r>
        <r>
          <rPr>
            <sz val="9"/>
            <color indexed="81"/>
            <rFont val="Tahoma"/>
            <family val="2"/>
          </rPr>
          <t xml:space="preserve">
Chaitu: confirm with Kah Meng</t>
        </r>
      </text>
    </comment>
    <comment ref="H63"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65"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7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7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7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7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7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7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7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7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75" authorId="0" shapeId="0" xr:uid="{932680D4-BCE7-4FC4-A166-6D3F901B67BC}">
      <text>
        <r>
          <rPr>
            <b/>
            <sz val="9"/>
            <color indexed="81"/>
            <rFont val="Tahoma"/>
            <family val="2"/>
          </rPr>
          <t>Shui, Yaxin:</t>
        </r>
        <r>
          <rPr>
            <sz val="9"/>
            <color indexed="81"/>
            <rFont val="Tahoma"/>
            <family val="2"/>
          </rPr>
          <t xml:space="preserve">
No Clink </t>
        </r>
      </text>
    </comment>
    <comment ref="J75" authorId="0" shapeId="0" xr:uid="{2A350FB0-9CBC-4A29-8F8B-2455A60055BC}">
      <text>
        <r>
          <rPr>
            <b/>
            <sz val="9"/>
            <color indexed="81"/>
            <rFont val="Tahoma"/>
            <family val="2"/>
          </rPr>
          <t>Shui, Yaxin:</t>
        </r>
        <r>
          <rPr>
            <sz val="9"/>
            <color indexed="81"/>
            <rFont val="Tahoma"/>
            <family val="2"/>
          </rPr>
          <t xml:space="preserve">
No Clink </t>
        </r>
      </text>
    </comment>
    <comment ref="K75" authorId="0" shapeId="0" xr:uid="{32F47547-E1EE-4BF5-B204-B998BF7DA593}">
      <text>
        <r>
          <rPr>
            <b/>
            <sz val="9"/>
            <color indexed="81"/>
            <rFont val="Tahoma"/>
            <family val="2"/>
          </rPr>
          <t>Shui, Yaxin:</t>
        </r>
        <r>
          <rPr>
            <sz val="9"/>
            <color indexed="81"/>
            <rFont val="Tahoma"/>
            <family val="2"/>
          </rPr>
          <t xml:space="preserve">
No Clink </t>
        </r>
      </text>
    </comment>
    <comment ref="L75" authorId="0" shapeId="0" xr:uid="{CA075824-6F47-4D6A-AA2D-8AAAEB02CE3F}">
      <text>
        <r>
          <rPr>
            <b/>
            <sz val="9"/>
            <color indexed="81"/>
            <rFont val="Tahoma"/>
            <family val="2"/>
          </rPr>
          <t>Shui, Yaxin:</t>
        </r>
        <r>
          <rPr>
            <sz val="9"/>
            <color indexed="81"/>
            <rFont val="Tahoma"/>
            <family val="2"/>
          </rPr>
          <t xml:space="preserve">
No Clink </t>
        </r>
      </text>
    </comment>
    <comment ref="H7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7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79" authorId="1"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82"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83" authorId="2"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4" authorId="3"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84" authorId="4"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85" authorId="3"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8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87" authorId="5" shapeId="0" xr:uid="{B51941D4-79EC-472C-A636-C26ED3F4EA38}">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89"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89"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tc={5F61125A-8E8B-48BE-9ACF-757E3B6C8EAF}</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2"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36"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R53"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57"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1" shapeId="0" xr:uid="{B0727BE6-C5C8-4291-9845-DD738E9797F5}">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9E1324CB-C308-4774-BC0F-8AD65B4C1831}">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A68A3F1C-43B1-4FC3-AB97-D0D62155D1DF}">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70B46351-D9AD-4558-8CB7-AF73B9222336}">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2A0614AF-7B44-4BED-8FCC-42B1194529CC}">
      <text>
        <r>
          <rPr>
            <b/>
            <sz val="9"/>
            <color indexed="81"/>
            <rFont val="Tahoma"/>
            <family val="2"/>
          </rPr>
          <t>Kakeda, Masahide:</t>
        </r>
        <r>
          <rPr>
            <sz val="9"/>
            <color indexed="81"/>
            <rFont val="Tahoma"/>
            <family val="2"/>
          </rPr>
          <t xml:space="preserve">
SAMSUNG_PUF_CONFIG_EN and IFWI_LAYOUT_1_5_EN are
mutualy exclusive </t>
        </r>
      </text>
    </comment>
    <comment ref="E79" authorId="1" shapeId="0" xr:uid="{9FB2C29A-546C-4D7C-ABFC-BE500F48DD3F}">
      <text>
        <r>
          <rPr>
            <b/>
            <sz val="9"/>
            <color indexed="81"/>
            <rFont val="Tahoma"/>
            <family val="2"/>
          </rPr>
          <t>Kakeda, Masahide:</t>
        </r>
        <r>
          <rPr>
            <sz val="9"/>
            <color indexed="81"/>
            <rFont val="Tahoma"/>
            <family val="2"/>
          </rPr>
          <t xml:space="preserve">
SAMSUNG_PUF_CONFIG_EN and IFWI_LAYOUT_1_5_EN are
mutualy exclusive </t>
        </r>
      </text>
    </comment>
    <comment ref="E81" authorId="1" shapeId="0" xr:uid="{0484D8E1-36D9-4B0D-95E1-4203322AFB8F}">
      <text>
        <r>
          <rPr>
            <b/>
            <sz val="9"/>
            <color indexed="81"/>
            <rFont val="Tahoma"/>
            <family val="2"/>
          </rPr>
          <t>Kakeda, Masahide:</t>
        </r>
        <r>
          <rPr>
            <sz val="9"/>
            <color indexed="81"/>
            <rFont val="Tahoma"/>
            <family val="2"/>
          </rPr>
          <t xml:space="preserve">
used in EBG</t>
        </r>
      </text>
    </comment>
    <comment ref="E107" authorId="1" shapeId="0" xr:uid="{E9952A2D-01F5-401C-9E56-150F00DE0CFD}">
      <text>
        <r>
          <rPr>
            <b/>
            <sz val="9"/>
            <color indexed="81"/>
            <rFont val="Tahoma"/>
            <family val="2"/>
          </rPr>
          <t>Kakeda, Masahide:</t>
        </r>
        <r>
          <rPr>
            <sz val="9"/>
            <color indexed="81"/>
            <rFont val="Tahoma"/>
            <family val="2"/>
          </rPr>
          <t xml:space="preserve">
(1 &lt;&lt; x ) - 1
</t>
        </r>
      </text>
    </comment>
    <comment ref="G107" authorId="1" shapeId="0" xr:uid="{CFCC1BEE-98D3-4CCA-BE8F-9BEEDC12A2D2}">
      <text>
        <r>
          <rPr>
            <b/>
            <sz val="9"/>
            <color indexed="81"/>
            <rFont val="Tahoma"/>
            <family val="2"/>
          </rPr>
          <t>Kakeda, Masahide:</t>
        </r>
        <r>
          <rPr>
            <sz val="9"/>
            <color indexed="81"/>
            <rFont val="Tahoma"/>
            <family val="2"/>
          </rPr>
          <t xml:space="preserve">
(1 &lt;&lt; x ) - 1
</t>
        </r>
      </text>
    </comment>
    <comment ref="D11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2"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1" shapeId="0" xr:uid="{267BF3B8-7A69-4CF2-8DA1-8A0431763A23}">
      <text>
        <r>
          <rPr>
            <b/>
            <sz val="9"/>
            <color indexed="81"/>
            <rFont val="Tahoma"/>
            <family val="2"/>
          </rPr>
          <t>Kakeda, Masahide:</t>
        </r>
        <r>
          <rPr>
            <sz val="9"/>
            <color indexed="81"/>
            <rFont val="Tahoma"/>
            <family val="2"/>
          </rPr>
          <t xml:space="preserve">
For SPS FW</t>
        </r>
      </text>
    </comment>
    <comment ref="D133" authorId="1" shapeId="0" xr:uid="{02BE58DE-E98D-4676-8CA5-35A10884F63E}">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1" shapeId="0" xr:uid="{EF9725EF-74CA-4C0F-B090-5D5AA08DEE3E}">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0B591C24-C530-4672-A9F8-1268586FA605}">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1" shapeId="0" xr:uid="{50AB4F0C-A75C-417E-84D1-5D619C659549}">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6FFA8A58-9F6E-4481-AFEF-B7258A6A50FE}">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40C836AF-DB72-4EB7-93F9-F3ACF36F210B}">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EECC40A5-2646-4C17-B46F-E0ECD70598A3}">
      <text>
        <r>
          <rPr>
            <b/>
            <sz val="9"/>
            <color indexed="81"/>
            <rFont val="Tahoma"/>
            <family val="2"/>
          </rPr>
          <t>Shui, Yaxin:</t>
        </r>
        <r>
          <rPr>
            <sz val="9"/>
            <color indexed="81"/>
            <rFont val="Tahoma"/>
            <family val="2"/>
          </rPr>
          <t xml:space="preserve">
PCR #: 14011013671
[CSME] RS2 DMA support from CSME to ESE</t>
        </r>
      </text>
    </comment>
    <comment ref="P198"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tc={926BDF14-A141-46E9-BD1F-5F1BC62C0080}</author>
  </authors>
  <commentList>
    <comment ref="C6" authorId="0" shapeId="0" xr:uid="{4DDFAD89-864C-46A8-9FEF-7E78D5066452}">
      <text>
        <r>
          <rPr>
            <b/>
            <sz val="9"/>
            <color indexed="81"/>
            <rFont val="Tahoma"/>
            <family val="2"/>
          </rPr>
          <t>Shui, Yaxin:</t>
        </r>
        <r>
          <rPr>
            <sz val="9"/>
            <color indexed="81"/>
            <rFont val="Tahoma"/>
            <family val="2"/>
          </rPr>
          <t xml:space="preserve">
Virtual fuse must be IntelHVM</t>
        </r>
      </text>
    </comment>
    <comment ref="E32" authorId="0" shapeId="0" xr:uid="{F4A5595E-C269-4869-89C4-5A2665EAD505}">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46DC9E90-0C4B-477A-9935-9224CEDB0D6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4AEB16C-DDBB-4EE2-8FCB-13742967FC5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D3B1F0B3-E417-4B8E-97C8-1DC254CE326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E549E2FC-54DE-49BE-8800-0C9B328FB04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AF015150-FF7E-43E2-A547-C63B969F6FAF}">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570D83F2-EDFC-418D-ACA1-38B0CAB5DC1F}">
      <text>
        <r>
          <rPr>
            <b/>
            <sz val="9"/>
            <color indexed="81"/>
            <rFont val="Tahoma"/>
            <family val="2"/>
          </rPr>
          <t>Shui, Yaxin:</t>
        </r>
        <r>
          <rPr>
            <sz val="9"/>
            <color indexed="81"/>
            <rFont val="Tahoma"/>
            <family val="2"/>
          </rPr>
          <t xml:space="preserve">
name not same as Group1 Page</t>
        </r>
      </text>
    </comment>
    <comment ref="P36" authorId="0" shapeId="0" xr:uid="{84757CE8-0F6B-412D-A3CB-7A336F03BFEE}">
      <text>
        <r>
          <rPr>
            <b/>
            <sz val="9"/>
            <color indexed="81"/>
            <rFont val="Tahoma"/>
            <family val="2"/>
          </rPr>
          <t>Shui, Yaxin:</t>
        </r>
        <r>
          <rPr>
            <sz val="9"/>
            <color indexed="81"/>
            <rFont val="Tahoma"/>
            <family val="2"/>
          </rPr>
          <t xml:space="preserve">
yes or replace by GSK_TRC_DIS ?</t>
        </r>
      </text>
    </comment>
    <comment ref="R53" authorId="0" shapeId="0" xr:uid="{F4672130-59B7-4B58-9978-A72534CA820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8328570-CAA5-44D6-81BC-9B0DD8F14BD7}">
      <text>
        <r>
          <rPr>
            <b/>
            <sz val="9"/>
            <color indexed="81"/>
            <rFont val="Tahoma"/>
            <family val="2"/>
          </rPr>
          <t>Shui, Yaxin:</t>
        </r>
        <r>
          <rPr>
            <sz val="9"/>
            <color indexed="81"/>
            <rFont val="Tahoma"/>
            <family val="2"/>
          </rPr>
          <t xml:space="preserve">
CONFIG_OCS_DISABLE_GKEY2 RTL config</t>
        </r>
      </text>
    </comment>
    <comment ref="R57" authorId="0" shapeId="0" xr:uid="{E93901EE-4D7B-47B0-B085-1C7FFE3102DE}">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984D38A5-0BAA-47F1-91FE-F54424F7881C}">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C45B7E7-63F1-4826-BD72-5C18553B21D2}">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1" shapeId="0" xr:uid="{40197736-04C7-4922-B6E2-66BBA0FEDC0F}">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288EE697-A3FD-492C-B2C4-17CCB640CD46}">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F8BE6E0E-5107-467B-A620-36E3882366D3}">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02E78B3A-8966-413A-B4A7-ABE057DE0D81}">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1AABDB83-C9F0-43FA-A389-6748FAF12E2E}">
      <text>
        <r>
          <rPr>
            <b/>
            <sz val="9"/>
            <color indexed="81"/>
            <rFont val="Tahoma"/>
            <family val="2"/>
          </rPr>
          <t>Kakeda, Masahide:</t>
        </r>
        <r>
          <rPr>
            <sz val="9"/>
            <color indexed="81"/>
            <rFont val="Tahoma"/>
            <family val="2"/>
          </rPr>
          <t xml:space="preserve">
SAMSUNG_PUF_CONFIG_EN and IFWI_LAYOUT_1_5_EN are
mutualy exclusive </t>
        </r>
      </text>
    </comment>
    <comment ref="E79" authorId="1" shapeId="0" xr:uid="{246D77BC-C9DE-4604-A47E-1D559D47A986}">
      <text>
        <r>
          <rPr>
            <b/>
            <sz val="9"/>
            <color indexed="81"/>
            <rFont val="Tahoma"/>
            <family val="2"/>
          </rPr>
          <t>Kakeda, Masahide:</t>
        </r>
        <r>
          <rPr>
            <sz val="9"/>
            <color indexed="81"/>
            <rFont val="Tahoma"/>
            <family val="2"/>
          </rPr>
          <t xml:space="preserve">
SAMSUNG_PUF_CONFIG_EN and IFWI_LAYOUT_1_5_EN are
mutualy exclusive </t>
        </r>
      </text>
    </comment>
    <comment ref="E81" authorId="1" shapeId="0" xr:uid="{EB465F8C-0702-412C-81A9-EF8B0F368068}">
      <text>
        <r>
          <rPr>
            <b/>
            <sz val="9"/>
            <color indexed="81"/>
            <rFont val="Tahoma"/>
            <family val="2"/>
          </rPr>
          <t>Kakeda, Masahide:</t>
        </r>
        <r>
          <rPr>
            <sz val="9"/>
            <color indexed="81"/>
            <rFont val="Tahoma"/>
            <family val="2"/>
          </rPr>
          <t xml:space="preserve">
used in EBG</t>
        </r>
      </text>
    </comment>
    <comment ref="E107" authorId="1" shapeId="0" xr:uid="{A9CD946A-D438-4EA4-BD3D-137A9C49A410}">
      <text>
        <r>
          <rPr>
            <b/>
            <sz val="9"/>
            <color indexed="81"/>
            <rFont val="Tahoma"/>
            <family val="2"/>
          </rPr>
          <t>Kakeda, Masahide:</t>
        </r>
        <r>
          <rPr>
            <sz val="9"/>
            <color indexed="81"/>
            <rFont val="Tahoma"/>
            <family val="2"/>
          </rPr>
          <t xml:space="preserve">
(1 &lt;&lt; x ) - 1
</t>
        </r>
      </text>
    </comment>
    <comment ref="G107" authorId="1" shapeId="0" xr:uid="{686D18A4-CD0F-4D8F-BEBE-EBF388C82383}">
      <text>
        <r>
          <rPr>
            <b/>
            <sz val="9"/>
            <color indexed="81"/>
            <rFont val="Tahoma"/>
            <family val="2"/>
          </rPr>
          <t>Kakeda, Masahide:</t>
        </r>
        <r>
          <rPr>
            <sz val="9"/>
            <color indexed="81"/>
            <rFont val="Tahoma"/>
            <family val="2"/>
          </rPr>
          <t xml:space="preserve">
(1 &lt;&lt; x ) - 1
</t>
        </r>
      </text>
    </comment>
    <comment ref="D117" authorId="0" shapeId="0" xr:uid="{7CE4C129-A62F-432C-9C07-C55F7C67C68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BBD9CA6C-A51D-49A2-B5FF-E3DBBE7FB8B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83520F8-7269-4C1F-B5A6-FE793B3F219A}">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2" shapeId="0" xr:uid="{926BDF14-A141-46E9-BD1F-5F1BC62C0080}">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1" shapeId="0" xr:uid="{519C51CE-6898-41EA-9F5F-F3AEB2E9D112}">
      <text>
        <r>
          <rPr>
            <b/>
            <sz val="9"/>
            <color indexed="81"/>
            <rFont val="Tahoma"/>
            <family val="2"/>
          </rPr>
          <t>Kakeda, Masahide:</t>
        </r>
        <r>
          <rPr>
            <sz val="9"/>
            <color indexed="81"/>
            <rFont val="Tahoma"/>
            <family val="2"/>
          </rPr>
          <t xml:space="preserve">
For SPS FW</t>
        </r>
      </text>
    </comment>
    <comment ref="D133" authorId="1" shapeId="0" xr:uid="{1DFCD03A-A2F2-44D0-BA0B-B411E3AEF092}">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1" shapeId="0" xr:uid="{54355791-3647-459C-A586-DD07A3CD999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D054EA4B-9258-42D9-8B60-DEC5E3F651EB}">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1" shapeId="0" xr:uid="{119034A9-9CDE-428D-8CD8-596B22C5BB3F}">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36D6EC9D-0F54-4531-9957-0910716843FA}">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CEA295D3-5FBD-43B2-BBD8-96D9595A0396}">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7C72BE26-214E-41C0-8B7F-DD9FDF7279D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6669BACC-7384-4187-BE48-7AC2D5974821}">
      <text>
        <r>
          <rPr>
            <b/>
            <sz val="9"/>
            <color indexed="81"/>
            <rFont val="Tahoma"/>
            <family val="2"/>
          </rPr>
          <t>Shui, Yaxin:</t>
        </r>
        <r>
          <rPr>
            <sz val="9"/>
            <color indexed="81"/>
            <rFont val="Tahoma"/>
            <family val="2"/>
          </rPr>
          <t xml:space="preserve">
PCR #: 14011013671
[CSME] RS2 DMA support from CSME to ESE</t>
        </r>
      </text>
    </comment>
    <comment ref="P198" authorId="0" shapeId="0" xr:uid="{642605BA-2E2C-4C68-82E2-B6436256F9CD}">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<sst xmlns="http://schemas.openxmlformats.org/spreadsheetml/2006/main" count="11844" uniqueCount="1605">
  <si>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</si>
  <si>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</si>
  <si>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</si>
  <si>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</si>
  <si>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</si>
  <si>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</si>
  <si>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</si>
  <si>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</si>
  <si>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</si>
  <si>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</si>
  <si>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</si>
  <si>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</si>
  <si>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</si>
  <si>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</si>
  <si>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</si>
  <si>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</si>
  <si>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</si>
  <si>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</si>
  <si>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</si>
  <si>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</si>
  <si>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</si>
  <si>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</si>
  <si>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</si>
  <si>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</si>
  <si>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</si>
  <si>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</si>
  <si>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</si>
  <si>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</si>
  <si>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</si>
  <si>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</si>
  <si>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</si>
  <si>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</si>
  <si>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</si>
  <si>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</si>
  <si>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</si>
  <si>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</si>
  <si>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</si>
  <si>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</si>
  <si>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</si>
  <si>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</si>
  <si>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</si>
  <si>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</si>
  <si>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</si>
  <si>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</si>
  <si>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</si>
  <si>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</si>
  <si>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</si>
  <si>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</si>
  <si>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</si>
  <si>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</si>
  <si>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</si>
  <si>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</si>
  <si>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</si>
  <si>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</si>
  <si>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</si>
  <si>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</si>
  <si>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</si>
  <si>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</si>
  <si>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</si>
  <si>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</si>
  <si>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</si>
  <si>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</si>
  <si>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</si>
  <si>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</si>
  <si>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</si>
  <si>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</si>
  <si>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</si>
  <si>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</si>
  <si>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</si>
  <si>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</si>
  <si>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</si>
  <si>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</si>
  <si>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</si>
  <si>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</si>
  <si>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</si>
  <si>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</si>
  <si>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</si>
  <si>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</si>
  <si>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</si>
  <si>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</si>
  <si>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</si>
  <si>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</si>
  <si>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</si>
  <si>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</si>
  <si>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</si>
  <si>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</si>
  <si>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</si>
  <si>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</si>
  <si>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</si>
  <si>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</si>
  <si>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</si>
  <si>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</si>
  <si>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</si>
  <si>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</si>
  <si>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</si>
  <si>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</si>
  <si>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</si>
  <si>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</si>
  <si>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</si>
  <si>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</si>
  <si>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</si>
  <si>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</si>
  <si>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</si>
  <si>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</si>
  <si>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</si>
  <si>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</si>
  <si>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</si>
  <si>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</si>
  <si>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</si>
  <si>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</si>
  <si>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</si>
  <si>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</si>
  <si>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</si>
  <si>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</si>
  <si>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</si>
  <si>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</si>
  <si>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</si>
  <si>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</si>
  <si>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</si>
  <si>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</si>
  <si>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</si>
  <si>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</si>
  <si>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</si>
  <si>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</si>
  <si>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</si>
  <si>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</si>
  <si>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</si>
  <si>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</si>
  <si>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</si>
  <si>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</si>
  <si>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</si>
  <si>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</si>
  <si>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</si>
  <si>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</si>
  <si>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</si>
  <si>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</si>
  <si>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</si>
  <si>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</si>
  <si>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</si>
  <si>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</si>
  <si>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</si>
  <si>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</si>
  <si>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</si>
  <si>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</si>
  <si>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</si>
  <si>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</si>
  <si>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</si>
  <si>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</si>
  <si>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</si>
  <si>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</si>
  <si>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</si>
  <si>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</si>
  <si>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</si>
  <si>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</si>
  <si>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</si>
  <si>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</si>
  <si>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</si>
  <si>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</si>
  <si>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</si>
  <si>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</si>
  <si>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</si>
  <si>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</si>
  <si>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</si>
  <si>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</si>
  <si>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</si>
  <si>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</si>
  <si>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</si>
  <si>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</si>
  <si>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</si>
  <si>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</si>
  <si>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</si>
  <si>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</si>
  <si>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</si>
  <si>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</si>
  <si>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</si>
  <si>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</si>
  <si>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</si>
  <si>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</si>
  <si>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</si>
  <si>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</si>
  <si>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</si>
  <si>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</si>
  <si>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</si>
  <si>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</si>
  <si>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</si>
  <si>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</si>
  <si>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</si>
  <si>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</si>
  <si>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</si>
  <si>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</si>
  <si>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</si>
  <si>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</si>
  <si>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</si>
  <si>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</si>
  <si>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</si>
  <si>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</si>
  <si>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</si>
  <si>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</si>
  <si>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</si>
  <si>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</si>
  <si>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</si>
  <si>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</si>
  <si>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</si>
  <si>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</si>
  <si>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</si>
  <si>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</si>
  <si>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</si>
  <si>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</si>
  <si>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</si>
  <si>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</si>
  <si>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</si>
  <si>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</si>
  <si>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</si>
  <si>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</si>
  <si>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</si>
  <si>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</si>
  <si>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</si>
  <si>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</si>
  <si>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</si>
  <si>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</si>
  <si>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</si>
  <si>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</si>
  <si>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</si>
  <si>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</si>
  <si>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</si>
  <si>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</si>
  <si>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</si>
  <si>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</si>
  <si>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</si>
  <si>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</si>
  <si>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</si>
  <si>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</si>
  <si>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</si>
  <si>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</si>
  <si>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</si>
  <si>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</si>
  <si>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</si>
  <si>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</si>
  <si>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</si>
  <si>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</si>
  <si>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</si>
  <si>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</si>
  <si>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</si>
  <si>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</si>
  <si>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</si>
  <si>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</si>
  <si>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</si>
  <si>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</si>
  <si>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</si>
  <si>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</si>
  <si>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</si>
  <si>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</si>
  <si>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</si>
  <si>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</si>
  <si>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</si>
  <si>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</si>
  <si>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</si>
  <si>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</si>
  <si>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</si>
  <si>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</si>
  <si>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</si>
  <si>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</si>
  <si>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</si>
  <si>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</si>
  <si>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</si>
  <si>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</si>
  <si>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</si>
  <si>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</si>
  <si>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</si>
  <si>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</si>
  <si>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</si>
  <si>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</si>
  <si>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</si>
  <si>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</si>
  <si>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</si>
  <si>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</si>
  <si>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</si>
  <si>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</si>
  <si>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</si>
  <si>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</si>
  <si>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</si>
  <si>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</si>
  <si>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</si>
  <si>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</si>
  <si>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</si>
  <si>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</si>
  <si>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</si>
  <si>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</si>
  <si>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</si>
  <si>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</si>
  <si>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</si>
  <si>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</si>
  <si>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</si>
  <si>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</si>
  <si>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</si>
  <si>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</si>
  <si>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</si>
  <si>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</si>
  <si>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</si>
  <si>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</si>
  <si>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</si>
  <si>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</si>
  <si>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</si>
  <si>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</si>
  <si>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</si>
  <si>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</si>
  <si>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</si>
  <si>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</si>
  <si>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</si>
  <si>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</si>
  <si>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</si>
  <si>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</si>
  <si>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</si>
  <si>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</si>
  <si>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</si>
  <si>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</si>
  <si>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</si>
  <si>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</si>
  <si>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</si>
  <si>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</si>
  <si>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</si>
  <si>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</si>
  <si>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</si>
  <si>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</si>
  <si>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</si>
  <si>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</si>
  <si>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</si>
  <si>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</si>
  <si>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</si>
  <si>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</si>
  <si>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</si>
  <si>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</si>
  <si>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</si>
  <si>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</si>
  <si>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</si>
  <si>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</si>
  <si>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</si>
  <si>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</si>
  <si>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</si>
  <si>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</si>
  <si>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</si>
  <si>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</si>
  <si>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</si>
  <si>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</si>
  <si>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</si>
  <si>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</si>
  <si>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</si>
  <si>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</si>
  <si>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</si>
  <si>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</si>
  <si>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</si>
  <si>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</si>
  <si>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</si>
  <si>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</si>
  <si>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</si>
  <si>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</si>
  <si>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</si>
  <si>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</si>
  <si>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</si>
  <si>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</si>
  <si>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</si>
  <si>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</si>
  <si>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</si>
  <si>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</si>
  <si>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</si>
  <si>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</si>
  <si>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</si>
  <si>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</si>
  <si>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</si>
  <si>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</si>
  <si>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</si>
  <si>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</si>
  <si>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</si>
  <si>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</si>
  <si>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</si>
  <si>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</si>
  <si>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</si>
  <si>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</si>
  <si>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</si>
  <si>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</si>
  <si>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</si>
  <si>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</si>
  <si>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</si>
  <si>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</si>
  <si>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</si>
  <si>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</si>
  <si>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</si>
  <si>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</si>
  <si>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</si>
  <si>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</si>
  <si>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</si>
  <si>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</si>
  <si>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</si>
  <si>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</si>
  <si>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</si>
  <si>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</si>
  <si>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</si>
  <si>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</si>
  <si>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</si>
  <si>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</si>
  <si>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</si>
  <si>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</si>
  <si>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</si>
  <si>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</si>
  <si>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</si>
  <si>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</si>
  <si>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</si>
  <si>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</si>
  <si>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</si>
  <si>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</si>
  <si>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</si>
  <si>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</si>
  <si>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</si>
  <si>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</si>
  <si>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</si>
  <si>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</si>
  <si>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</si>
  <si>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</si>
  <si>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</si>
  <si>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</si>
  <si>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</si>
  <si>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</si>
  <si>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</si>
  <si>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</si>
  <si>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</si>
  <si>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</si>
  <si>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</si>
  <si>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</si>
  <si>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</si>
  <si>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</si>
  <si>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</si>
  <si>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</si>
  <si>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</si>
  <si>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</si>
  <si>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</si>
  <si>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</si>
  <si>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</si>
  <si>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</si>
  <si>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</si>
  <si>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</si>
  <si>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</si>
  <si>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</si>
  <si>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</si>
  <si>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</si>
  <si>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</si>
  <si>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</si>
  <si>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</si>
  <si>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</si>
  <si>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</si>
  <si>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</si>
  <si>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</si>
  <si>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</si>
  <si>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</si>
  <si>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</si>
  <si>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</si>
  <si>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</si>
  <si>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</si>
  <si>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</si>
  <si>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</si>
  <si>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</si>
  <si>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</si>
  <si>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</si>
  <si>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</si>
  <si>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</si>
  <si>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</si>
  <si>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</si>
  <si>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</si>
  <si>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</si>
  <si>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</si>
  <si>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</si>
  <si>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</si>
  <si>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</si>
  <si>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</si>
  <si>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</si>
  <si>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</si>
  <si>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</si>
  <si>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</si>
  <si>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</si>
  <si>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</si>
  <si>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</si>
  <si>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</si>
  <si>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</si>
  <si>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</si>
  <si>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</si>
  <si>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</si>
  <si>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</si>
  <si>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</si>
  <si>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</si>
  <si>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</si>
  <si>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</si>
  <si>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</si>
  <si>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</si>
  <si>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</si>
  <si>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</si>
  <si>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</si>
  <si>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</si>
  <si>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</si>
  <si>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</si>
  <si>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</si>
  <si>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</si>
  <si>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</si>
  <si>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</si>
  <si>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</si>
  <si>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</si>
  <si>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</si>
  <si>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</si>
  <si>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</si>
  <si>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</si>
  <si>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</si>
  <si>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</si>
  <si>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</si>
  <si>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</si>
  <si>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</si>
  <si>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</si>
  <si>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</si>
  <si>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</si>
  <si>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</si>
  <si>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</si>
  <si>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</si>
  <si>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</si>
  <si>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</si>
  <si>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</si>
  <si>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</si>
  <si>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</si>
  <si>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</si>
  <si>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</si>
  <si>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</si>
  <si>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</si>
  <si>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</si>
  <si>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</si>
  <si>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</si>
  <si>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</si>
  <si>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</si>
  <si>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</si>
  <si>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</si>
  <si>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</si>
  <si>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</si>
  <si>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</si>
  <si>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</si>
  <si>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</si>
  <si>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</si>
  <si>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</si>
  <si>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</si>
  <si>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</si>
  <si>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</si>
  <si>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</si>
  <si>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</si>
  <si>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</si>
  <si>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</si>
  <si>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</si>
  <si>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</si>
  <si>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</si>
  <si>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</si>
  <si>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</si>
  <si>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</si>
  <si>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</si>
  <si>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</si>
  <si>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</si>
  <si>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</si>
  <si>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</si>
  <si>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</si>
  <si>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</si>
  <si>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</si>
  <si>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</si>
  <si>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</si>
  <si>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</si>
  <si>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</si>
  <si>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</si>
  <si>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</si>
  <si>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</si>
  <si>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</si>
  <si>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</si>
  <si>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</si>
  <si>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</si>
  <si>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</si>
  <si>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</si>
  <si>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</si>
  <si>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</si>
  <si>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</si>
  <si>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</si>
  <si>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</si>
  <si>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</si>
  <si>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</si>
  <si>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</si>
  <si>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</si>
  <si>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</si>
  <si>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</si>
  <si>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</si>
  <si>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</si>
  <si>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</si>
  <si>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</si>
  <si>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</si>
  <si>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</si>
  <si>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</si>
  <si>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</si>
  <si>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</si>
  <si>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</si>
  <si>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</si>
  <si>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</si>
  <si>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</si>
  <si>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</si>
  <si>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</si>
  <si>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</si>
  <si>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</si>
  <si>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</si>
  <si>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</si>
  <si>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</si>
  <si>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</si>
  <si>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</si>
  <si>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</si>
  <si>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</si>
  <si>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</si>
  <si>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</si>
  <si>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</si>
  <si>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</si>
  <si>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</si>
  <si>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</si>
  <si>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</si>
  <si>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</si>
  <si>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</si>
  <si>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</si>
  <si>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</si>
  <si>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</si>
  <si>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</si>
  <si>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</si>
  <si>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</si>
  <si>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</si>
  <si>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</si>
  <si>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</si>
  <si>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</si>
  <si>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</si>
  <si>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</si>
  <si>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</si>
  <si>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</si>
  <si>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</si>
  <si>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</si>
  <si>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</si>
  <si>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</si>
  <si>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</si>
  <si>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</si>
  <si>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</si>
  <si>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</si>
  <si>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</si>
  <si>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</si>
  <si>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</si>
  <si>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</si>
  <si>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</si>
  <si>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</si>
  <si>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</si>
  <si>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</si>
  <si>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</si>
  <si>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</si>
  <si>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</si>
  <si>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</si>
  <si>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</si>
  <si>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</si>
  <si>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</si>
  <si>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</si>
  <si>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</si>
  <si>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</si>
  <si>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</si>
  <si>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</si>
  <si>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</si>
  <si>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</si>
  <si>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</si>
  <si>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</si>
  <si>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</si>
  <si>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</si>
  <si>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</si>
  <si>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</si>
  <si>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</si>
  <si>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</si>
  <si>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</si>
  <si>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</si>
  <si>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</si>
  <si>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</si>
  <si>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</si>
  <si>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</si>
  <si>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</si>
  <si>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</si>
  <si>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</si>
  <si>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</si>
  <si>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</si>
  <si>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</si>
  <si>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</si>
  <si>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</si>
  <si>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</si>
  <si>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</si>
  <si>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</si>
  <si>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</si>
  <si>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</si>
  <si>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</si>
  <si>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</si>
  <si>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</si>
  <si>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</si>
  <si>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</si>
  <si>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</si>
  <si>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</si>
  <si>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</si>
  <si>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</si>
  <si>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</si>
  <si>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</si>
  <si>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</si>
  <si>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</si>
  <si>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</si>
  <si>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</si>
  <si>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</si>
  <si>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</si>
  <si>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</si>
  <si>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</si>
  <si>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</si>
  <si>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</si>
  <si>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</si>
  <si>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</si>
  <si>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</si>
  <si>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</si>
  <si>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</si>
  <si>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</si>
  <si>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</si>
  <si>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</si>
  <si>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</si>
  <si>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</si>
  <si>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</si>
  <si>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</si>
  <si>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</si>
  <si>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</si>
  <si>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</si>
  <si>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</si>
  <si>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</si>
  <si>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</si>
  <si>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</si>
  <si>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</si>
  <si>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</si>
  <si>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</si>
  <si>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</si>
  <si>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</si>
  <si>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</si>
  <si>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</si>
  <si>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</si>
  <si>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</si>
  <si>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</si>
  <si>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</si>
  <si>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</si>
  <si>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</si>
  <si>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</si>
  <si>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</si>
  <si>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</si>
  <si>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</si>
  <si>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</si>
  <si>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</si>
  <si>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</si>
  <si>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</si>
  <si>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</si>
  <si>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</si>
  <si>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</si>
  <si>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</si>
  <si>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</si>
  <si>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</si>
  <si>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</si>
  <si>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</si>
  <si>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</si>
  <si>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</si>
  <si>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</si>
  <si>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</si>
  <si>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</si>
  <si>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</si>
  <si>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</si>
  <si>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</si>
  <si>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</si>
  <si>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</si>
  <si>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</si>
  <si>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</si>
  <si>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</si>
  <si>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</si>
  <si>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</si>
  <si>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</si>
  <si>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</si>
  <si>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</si>
  <si>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</si>
  <si>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</si>
  <si>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</si>
  <si>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</si>
  <si>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</si>
  <si>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</si>
  <si>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</si>
  <si>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</si>
  <si>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</si>
  <si>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</si>
  <si>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</si>
  <si>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</si>
  <si>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</si>
  <si>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</si>
  <si>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</si>
  <si>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</si>
  <si>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</si>
  <si>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</si>
  <si>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</si>
  <si>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</si>
  <si>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</si>
  <si>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</si>
  <si>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</si>
  <si>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</si>
  <si>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</si>
  <si>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</si>
  <si>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</si>
  <si>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</si>
  <si>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</si>
  <si>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</si>
  <si>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</si>
  <si>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</si>
  <si>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</si>
  <si>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</si>
  <si>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</si>
  <si>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</si>
  <si>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</si>
  <si>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</si>
  <si>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</si>
  <si>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</si>
  <si>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</si>
  <si>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</si>
  <si>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</si>
  <si>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</si>
  <si>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</si>
  <si>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</si>
  <si>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</si>
  <si>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</si>
  <si>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</si>
  <si>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</si>
  <si>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</si>
  <si>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</si>
  <si>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</si>
  <si>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</si>
  <si>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</si>
  <si>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</si>
  <si>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</si>
  <si>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</si>
  <si>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</si>
  <si>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</si>
  <si>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</si>
  <si>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</si>
  <si>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</si>
  <si>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</si>
  <si>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</si>
  <si>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</si>
  <si>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</si>
  <si>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</si>
  <si>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</si>
  <si>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</si>
  <si>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</si>
  <si>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</si>
  <si>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</si>
  <si>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</si>
  <si>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</si>
  <si>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</si>
  <si>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</si>
  <si>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</si>
  <si>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</si>
  <si>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</si>
  <si>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</si>
  <si>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</si>
  <si>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</si>
  <si>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</si>
  <si>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</si>
  <si>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</si>
  <si>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</si>
  <si>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</si>
  <si>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</si>
  <si>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</si>
  <si>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</si>
  <si>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</si>
  <si>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</si>
  <si>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</si>
  <si>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</si>
  <si>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</si>
  <si>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</si>
  <si>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</si>
  <si>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</si>
  <si>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</si>
  <si>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</si>
  <si>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</si>
  <si>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</si>
  <si>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</si>
  <si>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</si>
  <si>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</si>
  <si>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</si>
  <si>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</si>
  <si>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</si>
  <si>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</si>
  <si>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</si>
  <si>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</si>
  <si>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</si>
  <si>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</si>
  <si>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</si>
  <si>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</si>
  <si>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</si>
  <si>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</si>
  <si>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</si>
  <si>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</si>
  <si>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</si>
  <si>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</si>
  <si>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</si>
  <si>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</si>
  <si>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</si>
  <si>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</si>
  <si>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</si>
  <si>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</si>
  <si>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</si>
  <si>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</si>
  <si>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</si>
  <si>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</si>
  <si>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</si>
  <si>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</si>
  <si>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</si>
  <si>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</si>
  <si>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</si>
  <si>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</si>
  <si>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</si>
  <si>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</si>
  <si>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</si>
  <si>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</si>
  <si>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</si>
  <si>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</si>
  <si>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</si>
  <si>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</si>
  <si>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</si>
  <si>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</si>
  <si>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</si>
  <si>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</si>
  <si>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</si>
  <si>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</si>
  <si>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</si>
  <si>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</si>
  <si>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</si>
  <si>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</si>
  <si>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</si>
  <si>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</si>
  <si>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</si>
  <si>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</si>
  <si>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</si>
  <si>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</si>
  <si>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</si>
  <si>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</si>
  <si>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</si>
  <si>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</si>
  <si>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</si>
  <si>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</si>
  <si>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</si>
  <si>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</si>
  <si>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</si>
  <si>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</si>
  <si>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</si>
  <si>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</si>
  <si>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</si>
  <si>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</si>
  <si>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</si>
  <si>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</si>
  <si>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</si>
  <si>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</si>
  <si>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</si>
  <si>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</si>
  <si>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</si>
  <si>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</si>
  <si>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</si>
  <si>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</si>
  <si>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</si>
  <si>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</si>
  <si>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</si>
  <si>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</si>
  <si>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</si>
  <si>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</si>
  <si>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</si>
  <si>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</si>
  <si>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</si>
  <si>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</si>
  <si>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</si>
  <si>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</si>
  <si>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</si>
  <si>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</si>
  <si>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</si>
  <si>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</si>
  <si>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</si>
  <si>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</si>
  <si>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</si>
  <si>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</si>
  <si>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</si>
  <si>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</si>
  <si>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</si>
  <si>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</si>
  <si>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</si>
  <si>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</si>
  <si>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</si>
  <si>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</si>
  <si>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</si>
  <si>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</si>
  <si>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</si>
  <si>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</si>
  <si>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</si>
  <si>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</si>
  <si>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</si>
  <si>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</si>
  <si>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</si>
  <si>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</si>
  <si>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</si>
  <si>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</si>
  <si>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</si>
  <si>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</si>
  <si>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</si>
  <si>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</si>
  <si>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</si>
  <si>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</si>
  <si>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</si>
  <si>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</si>
  <si>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</si>
  <si>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</si>
  <si>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</si>
  <si>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</si>
  <si>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</si>
  <si>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</si>
  <si>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</si>
  <si>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</si>
  <si>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</si>
  <si>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</si>
  <si>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</si>
  <si>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</si>
  <si>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</si>
  <si>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</si>
  <si>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</si>
  <si>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</si>
  <si>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</si>
  <si>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</si>
  <si>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</si>
  <si>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</si>
  <si>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</si>
  <si>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</si>
  <si>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</si>
  <si>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</si>
  <si>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</si>
  <si>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</si>
  <si>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</si>
  <si>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</si>
  <si>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</si>
  <si>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</si>
  <si>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</si>
  <si>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</si>
  <si>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</si>
  <si>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</si>
  <si>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</si>
  <si>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</si>
  <si>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</si>
  <si>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</si>
  <si>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</si>
  <si>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</si>
  <si>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</si>
  <si>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</si>
  <si>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</si>
  <si>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</si>
  <si>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</si>
  <si>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</si>
  <si>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</si>
  <si>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</si>
  <si>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</si>
  <si>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</si>
  <si>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</si>
  <si>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</si>
  <si>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</si>
  <si>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</si>
  <si>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</si>
  <si>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</si>
  <si>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</si>
  <si>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</si>
  <si>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</si>
  <si>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</si>
  <si>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</si>
  <si>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</si>
  <si>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</si>
  <si>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</si>
  <si>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</si>
  <si>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</si>
  <si>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</si>
  <si>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</si>
  <si>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</si>
  <si>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</si>
  <si>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</si>
  <si>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</si>
  <si>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</si>
  <si>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</si>
  <si>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</si>
  <si>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</si>
  <si>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</si>
  <si>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</si>
  <si>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</si>
  <si>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</si>
  <si>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</si>
  <si>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</si>
  <si>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</si>
  <si>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</si>
  <si>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</si>
  <si>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</si>
  <si>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</si>
  <si>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</si>
  <si>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</si>
  <si>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</si>
  <si>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</si>
  <si>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</si>
  <si>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</si>
  <si>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</si>
  <si>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</si>
  <si>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</si>
  <si>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</si>
  <si>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</si>
  <si>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</si>
  <si>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</si>
  <si>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</si>
  <si>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</si>
  <si>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</si>
  <si>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</si>
  <si>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</si>
  <si>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</si>
  <si>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</si>
  <si>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</si>
  <si>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</si>
  <si>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</si>
  <si>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</si>
  <si>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</si>
  <si>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</si>
  <si>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</si>
  <si>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</si>
  <si>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</si>
  <si>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</si>
  <si>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</si>
  <si>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</si>
  <si>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</si>
  <si>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</si>
  <si>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</si>
  <si>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</si>
  <si>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</si>
  <si>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</si>
  <si>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</si>
  <si>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</si>
  <si>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</si>
  <si>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</si>
  <si>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</si>
  <si>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</si>
  <si>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</si>
  <si>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</si>
  <si>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</si>
  <si>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</si>
  <si>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</si>
  <si>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</si>
  <si>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</si>
  <si>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</si>
  <si>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</si>
  <si>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</si>
  <si>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</si>
  <si>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</si>
  <si>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</si>
  <si>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</si>
  <si>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</si>
  <si>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</si>
  <si>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</si>
  <si>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</si>
  <si>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</si>
  <si>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</si>
  <si>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</si>
  <si>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</si>
  <si>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</si>
  <si>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</si>
  <si>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</si>
  <si>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</si>
  <si>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</si>
  <si>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</si>
  <si>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</si>
  <si>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</si>
  <si>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</si>
  <si>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</si>
  <si>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</si>
  <si>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</si>
  <si>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</si>
  <si>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</si>
  <si>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</si>
  <si>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</si>
  <si>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</si>
  <si>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</si>
  <si>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</si>
  <si>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</si>
  <si>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</si>
  <si>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</si>
  <si>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</si>
  <si>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</si>
  <si>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</si>
  <si>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</si>
  <si>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</si>
  <si>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Spare_Softstraps_23</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</si>
  <si>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</si>
  <si>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</si>
  <si>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</si>
  <si>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</si>
  <si>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</si>
  <si>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</si>
  <si>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</si>
  <si>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</si>
  <si>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</si>
  <si>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</si>
  <si>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</si>
  <si>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</si>
  <si>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</si>
  <si>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</si>
  <si>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</si>
  <si>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</si>
  <si>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</si>
  <si>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</si>
  <si>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</si>
  <si>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</si>
  <si>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</si>
  <si>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</si>
  <si>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</si>
  <si>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</si>
  <si>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</si>
  <si>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</si>
  <si>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 xml:space="preserve"> SOFTSTRAP1_EN &amp; EMBED_SYS_RS2_OVERWRITE_EN</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</si>
  <si>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</si>
  <si>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</si>
  <si>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</si>
  <si>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</si>
  <si>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</si>
  <si>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</si>
  <si>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</si>
  <si>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</si>
  <si>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</si>
  <si>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</si>
  <si>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</si>
  <si>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Reserved_Softstrap_8</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</si>
  <si>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</si>
  <si>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</si>
  <si>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</si>
  <si>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</si>
  <si>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</si>
  <si>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</si>
  <si>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</si>
  <si>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</si>
  <si>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</si>
  <si>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</si>
  <si>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</si>
  <si>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</si>
  <si>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</si>
  <si>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</si>
  <si>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(16'h6A00)</t>
  </si>
  <si>
    <t xml:space="preserve">This parameter is used to define iKGF TBS attributes for On Die CA. This parameter shows bit size of HVM fuse. 
Current attribute size is 320 bits. When this parameter is set to ‘0’, this HVM fuse is remove. </t>
  </si>
  <si>
    <t>16'h6878</t>
  </si>
  <si>
    <t>16'h6874</t>
  </si>
  <si>
    <t>Rename to PACKAGE_ID to make sure that it’s not repurposed to other usages.</t>
  </si>
  <si>
    <t xml:space="preserve">XiaoYu confirmed </t>
  </si>
  <si>
    <t>16'h6860</t>
  </si>
  <si>
    <t>AR Yaxin: Ask Xiaoyu</t>
  </si>
  <si>
    <t>AR Yaxin: Ask Yanai and Thripthi</t>
  </si>
  <si>
    <t xml:space="preserve">decription for punit. Need for SOC CSE/ESE only, not in PCH </t>
  </si>
  <si>
    <t>16'h6064</t>
  </si>
  <si>
    <t>CSME_Debug_Enabled_Security_Key (in address 16'h6070)</t>
  </si>
  <si>
    <t>16'6044
(16'h6070)</t>
  </si>
  <si>
    <t>Security_Keys_Fuse_Check_Hash</t>
  </si>
  <si>
    <t>CSME_Security_Keys_Fuse_Check_Hash (in address 16'h6068)</t>
  </si>
  <si>
    <t>16'h6040
(16'h6068)</t>
  </si>
  <si>
    <t>Ask Yaxin: Yanai and Thripthi</t>
  </si>
  <si>
    <t>CSME_Security_Keys</t>
  </si>
  <si>
    <t>16'h6000</t>
  </si>
  <si>
    <t>CSE_INTCHK_RSVD_31_28</t>
  </si>
  <si>
    <t>16'h27FF</t>
  </si>
  <si>
    <t>IntelHVM</t>
  </si>
  <si>
    <t>JtagRd, SBRd, JtagWr, SBWr</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</si>
  <si>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</si>
  <si>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</si>
  <si>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</si>
  <si>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</si>
  <si>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</si>
  <si>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</si>
  <si>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</si>
  <si>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</si>
  <si>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</si>
  <si>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</si>
  <si>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</si>
  <si>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</si>
  <si>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</si>
  <si>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</si>
  <si>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</si>
  <si>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</si>
  <si>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</si>
  <si>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</si>
  <si>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</si>
  <si>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</si>
  <si>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</si>
  <si>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</si>
  <si>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</si>
  <si>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</si>
  <si>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</si>
  <si>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</si>
  <si>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JtagRd, SBRd, JtagWr</t>
  </si>
  <si>
    <t>Does this not exist on MTL -M CSME??? Supposed to be relevant to PCH-CSME and SoC-CSE.</t>
  </si>
  <si>
    <t>MTL-M CSME shall be yes as well</t>
  </si>
  <si>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</si>
  <si>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</si>
  <si>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</si>
  <si>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</si>
  <si>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</si>
  <si>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</si>
  <si>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</si>
  <si>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</si>
  <si>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</si>
  <si>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</si>
  <si>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</si>
  <si>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</si>
  <si>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</si>
  <si>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</si>
  <si>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</si>
  <si>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</si>
  <si>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</si>
  <si>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</si>
  <si>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</si>
  <si>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</si>
  <si>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</si>
  <si>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</si>
  <si>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</si>
  <si>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</si>
  <si>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</si>
  <si>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</si>
  <si>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</si>
  <si>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</si>
  <si>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</si>
  <si>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</si>
  <si>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</si>
  <si>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</si>
  <si>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</si>
  <si>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</si>
  <si>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</si>
  <si>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</si>
  <si>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</si>
  <si>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</si>
  <si>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</si>
  <si>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</si>
  <si>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</si>
  <si>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</si>
  <si>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</si>
  <si>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</si>
  <si>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</si>
  <si>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</si>
  <si>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</si>
  <si>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</si>
  <si>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</si>
  <si>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</si>
  <si>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</si>
  <si>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</si>
  <si>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</si>
  <si>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</si>
  <si>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</si>
  <si>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</si>
  <si>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</si>
  <si>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</si>
  <si>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</si>
  <si>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</si>
  <si>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</si>
  <si>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</si>
  <si>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</si>
  <si>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</si>
  <si>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</si>
  <si>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</si>
  <si>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</si>
  <si>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</si>
  <si>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</si>
  <si>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</si>
  <si>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</si>
  <si>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</si>
  <si>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</si>
  <si>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</si>
  <si>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</si>
  <si>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</si>
  <si>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</si>
  <si>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</si>
  <si>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</si>
  <si>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</si>
  <si>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</si>
  <si>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</si>
  <si>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</si>
  <si>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</si>
  <si>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</si>
  <si>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</si>
  <si>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</si>
  <si>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</si>
  <si>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</si>
  <si>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</si>
  <si>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</si>
  <si>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</si>
  <si>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</si>
  <si>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</si>
  <si>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</si>
  <si>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</si>
  <si>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</si>
  <si>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</si>
  <si>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</si>
  <si>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</si>
  <si>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</si>
  <si>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</si>
  <si>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</si>
  <si>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</si>
  <si>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</si>
  <si>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</si>
  <si>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</si>
  <si>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</si>
  <si>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</si>
  <si>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</si>
  <si>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</si>
  <si>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</si>
  <si>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</si>
  <si>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</si>
  <si>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</si>
  <si>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</si>
  <si>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</si>
  <si>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</si>
  <si>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</si>
  <si>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</si>
  <si>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</si>
  <si>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</si>
  <si>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</si>
  <si>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</si>
  <si>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</si>
  <si>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</si>
  <si>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</si>
  <si>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</si>
  <si>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</si>
  <si>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</si>
  <si>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</si>
  <si>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</si>
  <si>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</si>
  <si>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</si>
  <si>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</si>
  <si>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</si>
  <si>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</si>
  <si>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</si>
  <si>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</si>
  <si>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</si>
  <si>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</si>
  <si>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</si>
  <si>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</si>
  <si>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</si>
  <si>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</si>
  <si>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</si>
  <si>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</si>
  <si>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</si>
  <si>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</si>
  <si>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</si>
  <si>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</si>
  <si>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</si>
  <si>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</si>
  <si>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</si>
  <si>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</si>
  <si>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</si>
  <si>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</si>
  <si>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</si>
  <si>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</si>
  <si>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</si>
  <si>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</si>
  <si>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</si>
  <si>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</si>
  <si>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</si>
  <si>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</si>
  <si>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</si>
  <si>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</si>
  <si>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</si>
  <si>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</si>
  <si>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</si>
  <si>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</si>
  <si>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</si>
  <si>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</si>
  <si>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</si>
  <si>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</si>
  <si>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</si>
  <si>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</si>
  <si>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</si>
  <si>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</si>
  <si>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</si>
  <si>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</si>
  <si>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</si>
  <si>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</si>
  <si>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</si>
  <si>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</si>
  <si>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PCR/DCN physically removed fuse wire</t>
  </si>
  <si>
    <t>can be  disconnected for the future DCN due to no longer be used for future projects or keep as reserved.</t>
  </si>
  <si>
    <t>reserve : not used but reserve for configuration of furture use</t>
  </si>
  <si>
    <t>in use</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</si>
  <si>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</si>
  <si>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</si>
  <si>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</si>
  <si>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</si>
  <si>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</si>
  <si>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</si>
  <si>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</si>
  <si>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</si>
  <si>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</si>
  <si>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</si>
  <si>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</si>
  <si>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</si>
  <si>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</si>
  <si>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</si>
  <si>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</si>
  <si>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</si>
  <si>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</si>
  <si>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</si>
  <si>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</si>
  <si>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</si>
  <si>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</si>
  <si>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</si>
  <si>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</si>
  <si>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</si>
  <si>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</si>
  <si>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</si>
  <si>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</si>
  <si>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</si>
  <si>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</si>
  <si>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</si>
  <si>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</si>
  <si>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</si>
  <si>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</si>
  <si>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IntelIPF</t>
  </si>
  <si>
    <t>OEMIPF</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</si>
  <si>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</si>
  <si>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</si>
  <si>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</si>
  <si>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</si>
  <si>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</si>
  <si>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</si>
  <si>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</si>
  <si>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</si>
  <si>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</si>
  <si>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</si>
  <si>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</si>
  <si>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</si>
  <si>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</si>
  <si>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</si>
  <si>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</si>
  <si>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</si>
  <si>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</si>
  <si>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</si>
  <si>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</si>
  <si>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</si>
  <si>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</si>
  <si>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</si>
  <si>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</si>
  <si>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</si>
  <si>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</si>
  <si>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</si>
  <si>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</si>
  <si>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</si>
  <si>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</si>
  <si>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</si>
  <si>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</si>
  <si>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</si>
  <si>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</si>
  <si>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</si>
  <si>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</si>
  <si>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</si>
  <si>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</si>
  <si>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</si>
  <si>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</si>
  <si>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</si>
  <si>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</si>
  <si>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</si>
  <si>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</si>
  <si>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</si>
  <si>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</si>
  <si>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</si>
  <si>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JtagWr = FW_CONFIG_FUSE_OWR_EN, SBWr =FW_CONFIG_FUSE_OWR_EN</t>
  </si>
  <si>
    <t>Attributes (eg: BOD=True, others=False or others = based on parameter)</t>
  </si>
  <si>
    <t>OCS_INCLUDE_TRNG</t>
  </si>
  <si>
    <t>OCS_FOUNDRY_PUF_ENABLE</t>
  </si>
  <si>
    <t>TRNG_ZEROIZE_EN</t>
  </si>
  <si>
    <t xml:space="preserve">SpareFuse </t>
  </si>
  <si>
    <t xml:space="preserve">N/A </t>
  </si>
  <si>
    <t xml:space="preserve">Reserved
</t>
  </si>
  <si>
    <t xml:space="preserve">JtagWr , SBWr </t>
  </si>
  <si>
    <t>Attributes (eg: BOD=True, others=False )</t>
  </si>
  <si>
    <t xml:space="preserve"> TRNG_ZEROIZE_EN</t>
  </si>
  <si>
    <t>TRNG_Zeorize Enable</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</si>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</sst>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z val="9"/>
      <color indexed="81"/>
      <name val="Tahoma"/>
      <charset val="1"/>
    </font>
  </fonts>
  <fills count="2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s>
  <borders count="7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top style="thin">
        <color auto="1"/>
      </top>
      <bottom style="medium">
        <color indexed="64"/>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s>
  <cellStyleXfs count="1">
    <xf numFmtId="0" fontId="0" fillId="0" borderId="0"/>
  </cellStyleXfs>
  <cellXfs count="50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0" fillId="19" borderId="2" xfId="0"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0" borderId="15" xfId="0" applyBorder="1" applyAlignment="1">
      <alignment vertical="top" wrapText="1"/>
    </xf>
    <xf numFmtId="0" fontId="0" fillId="0" borderId="67" xfId="0" applyBorder="1" applyAlignment="1">
      <alignment vertical="top" wrapText="1"/>
    </xf>
    <xf numFmtId="0" fontId="0" fillId="0" borderId="14" xfId="0" applyBorder="1" applyAlignment="1">
      <alignment vertical="top" wrapText="1"/>
    </xf>
    <xf numFmtId="0" fontId="0" fillId="0" borderId="14" xfId="0" applyBorder="1" applyAlignment="1">
      <alignment horizontal="left" vertical="top" wrapText="1"/>
    </xf>
    <xf numFmtId="0" fontId="0" fillId="0" borderId="14" xfId="0" applyBorder="1" applyAlignment="1">
      <alignment wrapText="1"/>
    </xf>
    <xf numFmtId="0" fontId="0" fillId="0" borderId="13" xfId="0" applyBorder="1" applyAlignment="1">
      <alignmen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center"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21" borderId="2" xfId="0" applyFont="1" applyFill="1" applyBorder="1" applyAlignment="1">
      <alignment vertical="top" wrapText="1"/>
    </xf>
    <xf numFmtId="0" fontId="0" fillId="6" borderId="7"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2" borderId="12" xfId="0" applyFill="1" applyBorder="1" applyAlignment="1">
      <alignment vertical="top" wrapText="1"/>
    </xf>
    <xf numFmtId="0" fontId="6" fillId="22" borderId="2" xfId="0" applyFont="1" applyFill="1" applyBorder="1" applyAlignment="1">
      <alignment horizontal="left" vertical="top" wrapText="1"/>
    </xf>
    <xf numFmtId="0" fontId="0" fillId="22" borderId="2" xfId="0" applyFill="1" applyBorder="1" applyAlignment="1">
      <alignment vertical="top" wrapText="1"/>
    </xf>
    <xf numFmtId="0" fontId="0" fillId="22" borderId="2" xfId="0" applyFill="1" applyBorder="1" applyAlignment="1">
      <alignment horizontal="left" vertical="top" wrapText="1"/>
    </xf>
    <xf numFmtId="0" fontId="0" fillId="22" borderId="34" xfId="0" applyFill="1" applyBorder="1" applyAlignment="1">
      <alignment vertical="top" wrapText="1"/>
    </xf>
    <xf numFmtId="0" fontId="0" fillId="22" borderId="2" xfId="0" applyFill="1" applyBorder="1" applyAlignment="1">
      <alignment horizontal="center" vertical="top" wrapText="1"/>
    </xf>
    <xf numFmtId="0" fontId="0" fillId="22" borderId="11" xfId="0" applyFill="1" applyBorder="1" applyAlignment="1">
      <alignment horizontal="left" vertical="top" wrapText="1"/>
    </xf>
    <xf numFmtId="0" fontId="0" fillId="22" borderId="43" xfId="0" applyFill="1" applyBorder="1" applyAlignment="1">
      <alignment vertical="top" wrapText="1"/>
    </xf>
    <xf numFmtId="0" fontId="0" fillId="22" borderId="27" xfId="0" applyFill="1" applyBorder="1" applyAlignment="1">
      <alignment vertical="top" wrapText="1"/>
    </xf>
    <xf numFmtId="0" fontId="5" fillId="22" borderId="2" xfId="0" applyFont="1" applyFill="1" applyBorder="1" applyAlignment="1">
      <alignment horizontal="left" vertical="top" wrapText="1"/>
    </xf>
    <xf numFmtId="0" fontId="6" fillId="22" borderId="2" xfId="0" applyFont="1" applyFill="1" applyBorder="1" applyAlignment="1">
      <alignment horizontal="center"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43"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9" borderId="27" xfId="0" applyFill="1" applyBorder="1" applyAlignment="1">
      <alignment vertical="top" wrapText="1"/>
    </xf>
    <xf numFmtId="0" fontId="6" fillId="9" borderId="2" xfId="0" applyFont="1" applyFill="1" applyBorder="1" applyAlignment="1">
      <alignment horizontal="center" vertical="top" wrapText="1"/>
    </xf>
    <xf numFmtId="0" fontId="0" fillId="9" borderId="25" xfId="0" applyFill="1" applyBorder="1" applyAlignment="1">
      <alignmen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21" fillId="5" borderId="2" xfId="0" applyFont="1" applyFill="1" applyBorder="1" applyAlignment="1">
      <alignment horizontal="left" vertical="top" wrapText="1"/>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8"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11" fillId="5" borderId="2" xfId="0" applyFont="1" applyFill="1" applyBorder="1" applyAlignment="1">
      <alignment vertical="top" wrapText="1"/>
    </xf>
    <xf numFmtId="0" fontId="5" fillId="5" borderId="2" xfId="0" applyFont="1" applyFill="1" applyBorder="1" applyAlignment="1">
      <alignment horizontal="left" vertical="top" wrapText="1"/>
    </xf>
    <xf numFmtId="0" fontId="0" fillId="6" borderId="7" xfId="0" applyFill="1" applyBorder="1" applyAlignment="1">
      <alignment vertical="top" wrapText="1"/>
    </xf>
    <xf numFmtId="0" fontId="5" fillId="5" borderId="2" xfId="0" applyFont="1" applyFill="1" applyBorder="1" applyAlignment="1">
      <alignment vertical="top" wrapText="1"/>
    </xf>
    <xf numFmtId="0" fontId="30" fillId="6" borderId="7" xfId="0" applyFont="1" applyFill="1" applyBorder="1" applyAlignment="1">
      <alignment horizontal="left" vertical="top"/>
    </xf>
    <xf numFmtId="0" fontId="30" fillId="5" borderId="2" xfId="0" applyFont="1" applyFill="1" applyBorder="1" applyAlignment="1">
      <alignment horizontal="left" vertical="top"/>
    </xf>
    <xf numFmtId="0" fontId="0" fillId="8" borderId="12" xfId="0" applyFill="1" applyBorder="1" applyAlignment="1">
      <alignment vertical="top" wrapText="1"/>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vertical="top" wrapText="1"/>
    </xf>
    <xf numFmtId="0" fontId="0" fillId="19" borderId="2" xfId="0" applyFill="1" applyBorder="1" applyAlignment="1">
      <alignment horizontal="left" vertical="top" wrapText="1"/>
    </xf>
    <xf numFmtId="0" fontId="0" fillId="8" borderId="2" xfId="0" applyFill="1" applyBorder="1" applyAlignment="1">
      <alignment vertical="top" wrapText="1"/>
    </xf>
    <xf numFmtId="0" fontId="0" fillId="19" borderId="2" xfId="0" applyFill="1" applyBorder="1" applyAlignment="1">
      <alignment horizontal="center" vertical="top" wrapText="1"/>
    </xf>
    <xf numFmtId="0" fontId="5" fillId="19" borderId="2" xfId="0" applyFont="1" applyFill="1" applyBorder="1" applyAlignment="1">
      <alignment horizontal="left" vertical="top" wrapText="1"/>
    </xf>
    <xf numFmtId="0" fontId="20" fillId="8" borderId="2" xfId="0" applyFont="1" applyFill="1" applyBorder="1" applyAlignment="1">
      <alignment horizontal="left"/>
    </xf>
    <xf numFmtId="0" fontId="21" fillId="8" borderId="2" xfId="0" applyFont="1" applyFill="1" applyBorder="1" applyAlignment="1">
      <alignment horizontal="left" vertical="top" wrapText="1"/>
    </xf>
    <xf numFmtId="0" fontId="6" fillId="0" borderId="0" xfId="0" applyFont="1" applyAlignment="1">
      <alignment vertical="top" wrapText="1"/>
    </xf>
    <xf numFmtId="0" fontId="0" fillId="19" borderId="12" xfId="0" applyFill="1" applyBorder="1" applyAlignment="1">
      <alignment vertical="top" wrapText="1"/>
    </xf>
    <xf numFmtId="0" fontId="20" fillId="19" borderId="2" xfId="0" applyFont="1" applyFill="1" applyBorder="1" applyAlignment="1">
      <alignment horizontal="lef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20" fillId="11" borderId="2" xfId="0" applyFont="1" applyFill="1" applyBorder="1" applyAlignment="1">
      <alignment horizontal="left"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69" xfId="0" applyBorder="1" applyAlignment="1">
      <alignmen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alignment horizontal="left" vertical="top" wrapText="1"/>
    </xf>
    <xf numFmtId="0" fontId="0" fillId="0" borderId="73" xfId="0" applyBorder="1" applyAlignment="1">
      <alignment wrapText="1"/>
    </xf>
    <xf numFmtId="0" fontId="0" fillId="0" borderId="74" xfId="0" applyBorder="1" applyAlignment="1">
      <alignment horizontal="left" vertical="center" wrapText="1"/>
    </xf>
    <xf numFmtId="0" fontId="31" fillId="0" borderId="75" xfId="0" applyFont="1" applyBorder="1" applyAlignment="1">
      <alignment horizontal="left" vertical="top"/>
    </xf>
    <xf numFmtId="0" fontId="31" fillId="0" borderId="76" xfId="0" applyFont="1" applyBorder="1" applyAlignment="1">
      <alignment wrapText="1"/>
    </xf>
    <xf numFmtId="0" fontId="0" fillId="0" borderId="69" xfId="0" applyBorder="1" applyAlignment="1">
      <alignment horizontal="left" vertical="top"/>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1" fillId="0" borderId="73" xfId="0" applyFont="1" applyBorder="1" applyAlignment="1">
      <alignment vertical="center"/>
    </xf>
    <xf numFmtId="0" fontId="0" fillId="0" borderId="74" xfId="0" applyBorder="1" applyAlignment="1">
      <alignment wrapText="1"/>
    </xf>
    <xf numFmtId="0" fontId="0" fillId="0" borderId="73" xfId="0" applyBorder="1" applyAlignment="1">
      <alignment horizontal="left" vertical="top"/>
    </xf>
    <xf numFmtId="0" fontId="0" fillId="0" borderId="74"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3"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4"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5" borderId="2" xfId="0" applyFont="1" applyFill="1" applyBorder="1" applyAlignment="1">
      <alignment vertical="center" wrapText="1"/>
    </xf>
    <xf numFmtId="0" fontId="1" fillId="26" borderId="2" xfId="0" applyFont="1" applyFill="1" applyBorder="1" applyAlignment="1">
      <alignment vertical="center" wrapText="1"/>
    </xf>
    <xf numFmtId="0" fontId="1" fillId="25" borderId="2" xfId="0" applyFont="1" applyFill="1" applyBorder="1" applyAlignment="1">
      <alignment horizontal="center" vertical="center" wrapText="1"/>
    </xf>
    <xf numFmtId="0" fontId="6" fillId="25" borderId="2" xfId="0" applyFont="1" applyFill="1" applyBorder="1" applyAlignment="1">
      <alignment vertical="center" wrapText="1"/>
    </xf>
    <xf numFmtId="0" fontId="30" fillId="27" borderId="2" xfId="0" applyFont="1" applyFill="1" applyBorder="1"/>
    <xf numFmtId="0" fontId="0" fillId="27" borderId="2" xfId="0" applyFill="1" applyBorder="1"/>
    <xf numFmtId="0" fontId="6" fillId="8" borderId="4" xfId="0" applyFont="1" applyFill="1" applyBorder="1"/>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14" fillId="0" borderId="2" xfId="0" applyFont="1" applyBorder="1" applyAlignment="1">
      <alignment vertical="center" wrapText="1"/>
    </xf>
    <xf numFmtId="0" fontId="1" fillId="0" borderId="2" xfId="0" applyFont="1" applyBorder="1" applyAlignment="1">
      <alignment vertical="center" wrapText="1"/>
    </xf>
    <xf numFmtId="0" fontId="5" fillId="0" borderId="2" xfId="0" applyFont="1" applyBorder="1" applyAlignment="1">
      <alignment horizontal="left" vertical="center" wrapText="1"/>
    </xf>
    <xf numFmtId="0" fontId="1" fillId="25" borderId="2" xfId="0" applyFont="1" applyFill="1" applyBorder="1" applyAlignment="1">
      <alignment horizontal="left" vertical="top"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2"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2" borderId="2" xfId="0" applyFont="1" applyFill="1" applyBorder="1" applyAlignment="1">
      <alignment horizontal="center" vertical="top" wrapText="1"/>
    </xf>
    <xf numFmtId="0" fontId="0" fillId="18" borderId="2" xfId="0" applyFont="1" applyFill="1" applyBorder="1" applyAlignment="1">
      <alignment horizontal="left" vertical="top" wrapText="1"/>
    </xf>
  </cellXfs>
  <cellStyles count="1">
    <cellStyle name="Normal" xfId="0" builtinId="0"/>
  </cellStyles>
  <dxfs count="76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theme="5" tint="0.39994506668294322"/>
        </patternFill>
      </fill>
    </dxf>
    <dxf>
      <fill>
        <patternFill>
          <bgColor rgb="FFFF00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C0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patternFill>
      </fill>
    </dxf>
    <dxf>
      <fill>
        <patternFill>
          <bgColor rgb="FFFF0000"/>
        </patternFill>
      </fill>
    </dxf>
    <dxf>
      <fill>
        <patternFill>
          <bgColor theme="5"/>
        </patternFill>
      </fill>
    </dxf>
    <dxf>
      <fill>
        <patternFill>
          <bgColor rgb="FFFF0000"/>
        </patternFill>
      </fill>
    </dxf>
    <dxf>
      <fill>
        <patternFill>
          <bgColor theme="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00000"/>
        </patternFill>
      </fill>
    </dxf>
    <dxf>
      <fill>
        <patternFill>
          <bgColor rgb="FFFF0000"/>
        </patternFill>
      </fill>
    </dxf>
    <dxf>
      <fill>
        <patternFill>
          <bgColor rgb="FFFF0000"/>
        </patternFill>
      </fill>
    </dxf>
    <dxf>
      <fill>
        <patternFill>
          <bgColor rgb="FFFF0000"/>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2:X231" totalsRowShown="0" headerRowDxfId="762" dataDxfId="760" headerRowBorderDxfId="761">
  <autoFilter ref="C32:X231"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9EDAF894-8331-4743-94F4-7A2C61AEC0A1}" name="Fuse Registers" dataDxfId="759"/>
    <tableColumn id="2" xr3:uid="{56080C49-2132-4BBC-BD70-66605F446E4C}" name="Fuse name" dataDxfId="758"/>
    <tableColumn id="3" xr3:uid="{82A3AB6F-2E1A-4461-9A3C-6FFC945FECF1}" name="Parameter" dataDxfId="757"/>
    <tableColumn id="4" xr3:uid="{BB2BCB78-F408-4B6B-921B-9C4173134BF7}" name="Attributes (eg: BOD=True, others=False or others = based on parameter)" dataDxfId="756"/>
    <tableColumn id="21" xr3:uid="{D7EDDA1C-9A33-4016-9C63-467315747559}" name="Default" dataDxfId="755"/>
    <tableColumn id="20" xr3:uid="{38861B6B-B95F-422E-A032-993645580F06}" name="Category" dataDxfId="754"/>
    <tableColumn id="5" xr3:uid="{3F162C8D-1B65-4512-AE9E-472563802795}" name="Group" dataDxfId="753"/>
    <tableColumn id="6" xr3:uid="{DA79B23D-5FE0-43F6-829B-8D575A2A0C4E}" name="Bit Width" dataDxfId="752"/>
    <tableColumn id="7" xr3:uid="{511BA9F9-3C6B-4C63-866D-52DFBC8525D9}" name="Receiver Addr" dataDxfId="751"/>
    <tableColumn id="18" xr3:uid="{87197C3F-A42F-4DDA-864A-968D83B48D5E}" name="Descriptions " dataDxfId="750"/>
    <tableColumn id="11" xr3:uid="{2C3BC7C9-07FC-405D-8BC0-ED6E89154F90}" name="ADP-S_x000a_(Kaizen Sheet)" dataDxfId="749"/>
    <tableColumn id="8" xr3:uid="{27226D23-4345-4FE7-A41C-5F515779B1C4}" name="MTL-M CSME _x000a_(Kaizen Sheet)" dataDxfId="748"/>
    <tableColumn id="10" xr3:uid="{BF367567-B609-4EB6-BD3D-80CCCDD3DB11}" name="MTL-M ESE _x000a_(Kaizen Sheet)" dataDxfId="747"/>
    <tableColumn id="14" xr3:uid="{EDC8F3D1-15DA-47B8-B419-42C2ECC31D0B}" name="MTP-PCH-S CSME" dataDxfId="746"/>
    <tableColumn id="15" xr3:uid="{51424B1A-17A0-415B-A62E-161C9907ADD7}" name="MTP-PCH-S ESE" dataDxfId="745"/>
    <tableColumn id="17" xr3:uid="{D0DEA104-7BF8-4527-AC3F-3B36CA6A520B}" name="MTL-SOC-S CSE" dataDxfId="744"/>
    <tableColumn id="16" xr3:uid="{3C0A934E-AC5E-4047-B641-7E684018856A}" name="MTL-SOC-S ESE" dataDxfId="743"/>
    <tableColumn id="22" xr3:uid="{06D8154B-4A39-45E2-9FE6-D860FF964ED3}" name="MTL-SOC-S ESE++" dataDxfId="742"/>
    <tableColumn id="9" xr3:uid="{025D42BA-8D40-4BF5-A107-32DA8E79D40E}" name="Note" dataDxfId="741"/>
    <tableColumn id="12" xr3:uid="{B4A9B220-D9C2-414A-A890-9AF9449678C0}" name="MB Comment (8/31)" dataDxfId="740"/>
    <tableColumn id="13" xr3:uid="{5BD9F532-FB37-48F7-8624-F84F895D40F2}" name="ELI Comment (8/31)" dataDxfId="739"/>
    <tableColumn id="19" xr3:uid="{8A21F9C7-D960-4B70-90D2-F1220CE4D69C}" name="yanai (9/1)" dataDxfId="73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D5FBDE-3E72-4FB9-86D6-70F4D0E6507D}" name="Table13" displayName="Table13" ref="C32:X231" totalsRowShown="0" headerRowDxfId="737" dataDxfId="735" headerRowBorderDxfId="736">
  <autoFilter ref="C32:X231"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2D4B6E7D-9A7E-4C38-B0D4-CCF250A3AEB5}" name="Fuse Registers" dataDxfId="734"/>
    <tableColumn id="2" xr3:uid="{D21251A0-37C9-45E6-B726-781EC4215022}" name="Fuse name" dataDxfId="733"/>
    <tableColumn id="3" xr3:uid="{3AFE4E5B-76A5-479F-A7A9-F3778F869E06}" name="Parameter" dataDxfId="732"/>
    <tableColumn id="4" xr3:uid="{A4E58B23-35D5-456C-A2A2-847F2791944F}" name="Attributes (eg: BOD=True, others=False )" dataDxfId="731"/>
    <tableColumn id="21" xr3:uid="{74A7BBD5-7BD8-45A4-84B5-1D9D9620F2A3}" name="Default" dataDxfId="730"/>
    <tableColumn id="20" xr3:uid="{F98987BC-4BC6-4168-8FA9-BBC1EE595974}" name="Category" dataDxfId="729"/>
    <tableColumn id="5" xr3:uid="{F05F1131-BEDF-4E26-B06C-B4122ED17ACF}" name="Group" dataDxfId="728"/>
    <tableColumn id="6" xr3:uid="{BA72FD20-41B5-4FB6-A6F5-A443B88D01FD}" name="Bit Width" dataDxfId="727"/>
    <tableColumn id="7" xr3:uid="{2F2A1DB8-C949-47E3-A9CD-756C3A8BCC18}" name="Receiver Addr" dataDxfId="726"/>
    <tableColumn id="18" xr3:uid="{539D630D-BFA4-4BAF-A257-C5D6CE84F52B}" name="Descriptions " dataDxfId="725"/>
    <tableColumn id="11" xr3:uid="{2DCEDA3F-2ECB-4491-B17C-E566F79CB88E}" name="ADP-S_x000a_(Kaizen Sheet)" dataDxfId="724"/>
    <tableColumn id="8" xr3:uid="{A42AEA6B-9531-45CB-B07C-47D6920931C5}" name="MTL-M CSME _x000a_(Kaizen Sheet)" dataDxfId="723"/>
    <tableColumn id="10" xr3:uid="{B6C688F0-B36C-4898-9F87-8AE0551BA7D5}" name="MTL-M ESE _x000a_(Kaizen Sheet)" dataDxfId="722"/>
    <tableColumn id="14" xr3:uid="{E8EA5CD8-D9D6-489D-9D88-675B6C7ADB3C}" name="MTP-PCH-S CSME" dataDxfId="721"/>
    <tableColumn id="15" xr3:uid="{D8BCE37C-9A59-49CD-95E1-41F1F8572D8F}" name="MTP-PCH-S ESE" dataDxfId="720"/>
    <tableColumn id="17" xr3:uid="{F78434EF-A38C-41B8-807D-D702782C86D1}" name="MTL-SOC-S CSE" dataDxfId="719"/>
    <tableColumn id="16" xr3:uid="{2DE7B815-9127-4E3E-AE4F-A7CF8217A8B2}" name="MTL-SOC-S ESE" dataDxfId="718"/>
    <tableColumn id="22" xr3:uid="{D4C31EF1-51C7-4C6A-A4AD-139A52F29BE0}" name="MTL-SOC-S ESE++" dataDxfId="717"/>
    <tableColumn id="9" xr3:uid="{10509C27-1562-4EBF-8A26-26F8C2621A6A}" name="Note" dataDxfId="716"/>
    <tableColumn id="12" xr3:uid="{B2B1AA03-9295-4C91-A65D-0634681820CE}" name="MB Comment (8/31)" dataDxfId="715"/>
    <tableColumn id="13" xr3:uid="{1AF59E81-A695-41D7-8CB4-31104033AD56}" name="ELI Comment (8/31)" dataDxfId="714"/>
    <tableColumn id="19" xr3:uid="{C07F96B9-9FCD-4390-B4C0-C3D63B887D00}" name="yanai (9/1)" dataDxfId="713"/>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79"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83" dT="2020-11-23T23:33:22.14" personId="{A2DE5FF8-E295-4803-B02B-F176E08C7223}" id="{075E0309-8EF5-4731-AB74-41411E933874}">
    <text>what is this parameter for REPAIR_FUSE_SUPPORT_EN</text>
  </threadedComment>
  <threadedComment ref="N84" dT="2020-11-24T22:46:52.85" personId="{A2DE5FF8-E295-4803-B02B-F176E08C7223}" id="{AAD9B433-651F-4766-B13B-C310CF9DAF9A}">
    <text>no internal fuse pull for CSC starting DG2</text>
  </threadedComment>
  <threadedComment ref="A87" dT="2020-11-23T23:47:38.64" personId="{A2DE5FF8-E295-4803-B02B-F176E08C7223}" id="{B51941D4-79EC-472C-A636-C26ED3F4EA38}">
    <text>Adding a parameter to allow FW_CONFIG fuses to be overriden</text>
  </threadedComment>
  <threadedComment ref="A89"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D122"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D122" dT="2020-11-23T22:38:52.31" personId="{A2DE5FF8-E295-4803-B02B-F176E08C7223}" id="{926BDF14-A141-46E9-BD1F-5F1BC62C0080}">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37"/>
  <sheetViews>
    <sheetView topLeftCell="A37" workbookViewId="0">
      <selection activeCell="D37" sqref="D37"/>
    </sheetView>
  </sheetViews>
  <sheetFormatPr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400">
        <v>44055</v>
      </c>
      <c r="C24" s="247" t="s">
        <v>606</v>
      </c>
      <c r="D24" s="138" t="s">
        <v>1166</v>
      </c>
    </row>
    <row r="25" spans="1:4" ht="28.8" x14ac:dyDescent="0.3">
      <c r="A25" s="134">
        <v>24</v>
      </c>
      <c r="B25" s="400">
        <v>44056</v>
      </c>
      <c r="C25" s="247" t="s">
        <v>606</v>
      </c>
      <c r="D25" s="138" t="s">
        <v>1167</v>
      </c>
    </row>
    <row r="26" spans="1:4" ht="28.8" x14ac:dyDescent="0.3">
      <c r="A26" s="134">
        <v>25</v>
      </c>
      <c r="B26" s="400">
        <v>44056</v>
      </c>
      <c r="C26" s="247" t="s">
        <v>1507</v>
      </c>
      <c r="D26" s="138" t="s">
        <v>1508</v>
      </c>
    </row>
    <row r="27" spans="1:4" ht="100.8" x14ac:dyDescent="0.3">
      <c r="A27" s="134">
        <v>26</v>
      </c>
      <c r="B27" s="400">
        <v>44077</v>
      </c>
      <c r="C27" s="247" t="s">
        <v>1507</v>
      </c>
      <c r="D27" s="138" t="s">
        <v>1509</v>
      </c>
    </row>
    <row r="28" spans="1:4" ht="72" x14ac:dyDescent="0.3">
      <c r="A28" s="134">
        <v>27</v>
      </c>
      <c r="B28" s="401">
        <v>44098</v>
      </c>
      <c r="C28" s="247" t="s">
        <v>1507</v>
      </c>
      <c r="D28" s="138" t="s">
        <v>1510</v>
      </c>
    </row>
    <row r="29" spans="1:4" ht="129.6" x14ac:dyDescent="0.3">
      <c r="A29" s="134">
        <v>28</v>
      </c>
      <c r="B29" s="402">
        <v>44099</v>
      </c>
      <c r="C29" s="247" t="s">
        <v>1507</v>
      </c>
      <c r="D29" s="138" t="s">
        <v>1511</v>
      </c>
    </row>
    <row r="30" spans="1:4" ht="158.4" x14ac:dyDescent="0.3">
      <c r="A30" s="403">
        <v>29</v>
      </c>
      <c r="B30" s="404">
        <v>44125</v>
      </c>
      <c r="C30" s="248" t="s">
        <v>1507</v>
      </c>
      <c r="D30" s="405" t="s">
        <v>1512</v>
      </c>
    </row>
    <row r="31" spans="1:4" ht="115.2" x14ac:dyDescent="0.3">
      <c r="A31" s="95"/>
      <c r="B31" s="95"/>
      <c r="C31" s="95"/>
      <c r="D31" s="406" t="s">
        <v>1513</v>
      </c>
    </row>
    <row r="32" spans="1:4" ht="187.2" x14ac:dyDescent="0.3">
      <c r="A32" s="95"/>
      <c r="B32" s="95"/>
      <c r="C32" s="95"/>
      <c r="D32" s="406" t="s">
        <v>1514</v>
      </c>
    </row>
    <row r="33" spans="1:4" ht="115.2" x14ac:dyDescent="0.3">
      <c r="A33" s="95"/>
      <c r="B33" s="95"/>
      <c r="C33" s="95"/>
      <c r="D33" s="406" t="s">
        <v>1515</v>
      </c>
    </row>
    <row r="34" spans="1:4" x14ac:dyDescent="0.3">
      <c r="A34" s="134">
        <v>30</v>
      </c>
      <c r="B34" s="235">
        <v>44126</v>
      </c>
      <c r="C34" s="247" t="s">
        <v>555</v>
      </c>
      <c r="D34" s="138" t="s">
        <v>1516</v>
      </c>
    </row>
    <row r="35" spans="1:4" ht="216" x14ac:dyDescent="0.3">
      <c r="A35" s="64">
        <v>31</v>
      </c>
      <c r="B35" s="407">
        <v>44153</v>
      </c>
      <c r="C35" s="64" t="s">
        <v>1507</v>
      </c>
      <c r="D35" s="408" t="s">
        <v>1517</v>
      </c>
    </row>
    <row r="36" spans="1:4" ht="230.4" x14ac:dyDescent="0.3">
      <c r="A36" s="16">
        <v>32</v>
      </c>
      <c r="B36" s="411">
        <v>44155</v>
      </c>
      <c r="C36" s="16" t="s">
        <v>1507</v>
      </c>
      <c r="D36" s="138" t="s">
        <v>1531</v>
      </c>
    </row>
    <row r="37" spans="1:4" ht="288" x14ac:dyDescent="0.3">
      <c r="A37" s="413">
        <v>33</v>
      </c>
      <c r="B37" s="414">
        <v>43853</v>
      </c>
      <c r="C37" s="413" t="s">
        <v>606</v>
      </c>
      <c r="D37" s="257" t="s">
        <v>1604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89"/>
  <sheetViews>
    <sheetView tabSelected="1" topLeftCell="A50" workbookViewId="0">
      <selection activeCell="N85" sqref="N85"/>
    </sheetView>
  </sheetViews>
  <sheetFormatPr defaultRowHeight="14.4" x14ac:dyDescent="0.3"/>
  <cols>
    <col min="1" max="1" width="32.6640625" style="15" bestFit="1" customWidth="1"/>
    <col min="2" max="2" width="7.6640625" style="15" customWidth="1"/>
    <col min="3" max="4" width="6.33203125" style="15" customWidth="1"/>
    <col min="5" max="5" width="11.6640625" style="15" customWidth="1"/>
    <col min="6" max="6" width="12.44140625" style="15" customWidth="1"/>
    <col min="7" max="7" width="14.6640625" style="15" customWidth="1"/>
    <col min="8" max="8" width="12.6640625" style="15" customWidth="1"/>
    <col min="9" max="9" width="12" style="15" customWidth="1"/>
    <col min="10" max="10" width="12.33203125" style="15" customWidth="1"/>
    <col min="11" max="11" width="10.6640625" style="15" customWidth="1"/>
    <col min="12" max="12" width="14.33203125" style="15" customWidth="1"/>
    <col min="13" max="13" width="10.44140625" style="15" customWidth="1"/>
    <col min="14" max="14" width="19.5546875" style="15" customWidth="1"/>
    <col min="15" max="15" width="23.44140625" style="15" customWidth="1"/>
    <col min="16" max="16" width="7.44140625" style="15" customWidth="1"/>
    <col min="17" max="30" width="8.88671875" style="15"/>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22" t="s">
        <v>634</v>
      </c>
      <c r="D4" s="423"/>
      <c r="E4" s="424" t="s">
        <v>392</v>
      </c>
      <c r="F4" s="425"/>
      <c r="G4" s="426"/>
      <c r="H4" s="422" t="s">
        <v>634</v>
      </c>
      <c r="I4" s="427"/>
      <c r="J4" s="424" t="s">
        <v>392</v>
      </c>
      <c r="K4" s="425"/>
      <c r="L4" s="425"/>
      <c r="M4" s="426"/>
      <c r="N4" s="18"/>
      <c r="O4" s="18"/>
      <c r="P4" s="18"/>
      <c r="Q4" s="18"/>
      <c r="R4" s="18"/>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1564</v>
      </c>
      <c r="O5" s="62" t="s">
        <v>1565</v>
      </c>
      <c r="P5" s="62"/>
      <c r="Q5" s="62"/>
      <c r="R5" s="62"/>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c r="Q7" s="16"/>
      <c r="R7" s="16"/>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c r="Q8" s="16"/>
      <c r="R8" s="16"/>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c r="Q9" s="16"/>
      <c r="R9" s="16"/>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c r="Q10" s="16"/>
      <c r="R10" s="16"/>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c r="Q11" s="16"/>
      <c r="R11" s="16"/>
      <c r="S11" s="16"/>
      <c r="T11" s="16"/>
      <c r="U11" s="16"/>
      <c r="V11" s="16"/>
      <c r="W11" s="16"/>
      <c r="X11" s="16"/>
      <c r="Y11" s="16"/>
      <c r="Z11" s="16"/>
      <c r="AA11" s="16"/>
      <c r="AB11" s="16"/>
      <c r="AC11" s="16"/>
      <c r="AD11" s="16"/>
      <c r="AE11" s="16" t="s">
        <v>848</v>
      </c>
    </row>
    <row r="12" spans="1:31" ht="13.5" customHeight="1" x14ac:dyDescent="0.3">
      <c r="A12" s="63" t="s">
        <v>203</v>
      </c>
      <c r="B12" s="63">
        <v>1</v>
      </c>
      <c r="C12" s="63">
        <v>1</v>
      </c>
      <c r="D12" s="63">
        <v>1</v>
      </c>
      <c r="E12" s="63">
        <v>1</v>
      </c>
      <c r="F12" s="63">
        <v>1</v>
      </c>
      <c r="G12" s="63">
        <v>1</v>
      </c>
      <c r="H12" s="63">
        <v>1</v>
      </c>
      <c r="I12" s="63">
        <v>0</v>
      </c>
      <c r="J12" s="63">
        <v>1</v>
      </c>
      <c r="K12" s="63">
        <v>0</v>
      </c>
      <c r="L12" s="63">
        <v>0</v>
      </c>
      <c r="M12" s="63">
        <v>1</v>
      </c>
      <c r="N12" s="16">
        <f>VLOOKUP(A12,Elasti_CSC_review_new!$G$2:$H$89,2,0)</f>
        <v>0</v>
      </c>
      <c r="O12" s="16">
        <f>VLOOKUP(A12,Elasti_GSC_review!$H$2:$I$89,2,0)</f>
        <v>1</v>
      </c>
      <c r="P12" s="16"/>
      <c r="Q12" s="16"/>
      <c r="R12" s="16"/>
      <c r="S12" s="16"/>
      <c r="T12" s="16"/>
      <c r="U12" s="16"/>
      <c r="V12" s="16"/>
      <c r="W12" s="16"/>
      <c r="X12" s="16"/>
      <c r="Y12" s="16"/>
      <c r="Z12" s="16"/>
      <c r="AA12" s="16"/>
      <c r="AB12" s="16"/>
      <c r="AC12" s="16"/>
      <c r="AD12" s="16"/>
      <c r="AE12" s="138"/>
    </row>
    <row r="13" spans="1:31" ht="13.5" customHeight="1" x14ac:dyDescent="0.3">
      <c r="A13" s="63" t="s">
        <v>199</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c r="Q13" s="16"/>
      <c r="R13" s="16"/>
      <c r="S13" s="16"/>
      <c r="T13" s="16"/>
      <c r="U13" s="16"/>
      <c r="V13" s="16"/>
      <c r="W13" s="16"/>
      <c r="X13" s="16"/>
      <c r="Y13" s="16"/>
      <c r="Z13" s="16"/>
      <c r="AA13" s="16"/>
      <c r="AB13" s="16"/>
      <c r="AC13" s="16"/>
      <c r="AD13" s="16"/>
      <c r="AE13" s="138"/>
    </row>
    <row r="14" spans="1:31" ht="13.5" customHeight="1" x14ac:dyDescent="0.3">
      <c r="A14" s="63" t="s">
        <v>201</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c r="Q14" s="16"/>
      <c r="R14" s="16"/>
      <c r="S14" s="16"/>
      <c r="T14" s="16"/>
      <c r="U14" s="16"/>
      <c r="V14" s="16"/>
      <c r="W14" s="16"/>
      <c r="X14" s="16"/>
      <c r="Y14" s="16"/>
      <c r="Z14" s="16"/>
      <c r="AA14" s="16"/>
      <c r="AB14" s="16"/>
      <c r="AC14" s="16"/>
      <c r="AD14" s="16"/>
      <c r="AE14" s="138"/>
    </row>
    <row r="15" spans="1:31" ht="13.5" customHeight="1" x14ac:dyDescent="0.3">
      <c r="A15" s="40" t="s">
        <v>147</v>
      </c>
      <c r="B15" s="16">
        <v>1</v>
      </c>
      <c r="C15" s="16">
        <v>1</v>
      </c>
      <c r="D15" s="16">
        <v>1</v>
      </c>
      <c r="E15" s="16">
        <v>1</v>
      </c>
      <c r="F15" s="16">
        <v>0</v>
      </c>
      <c r="G15" s="16">
        <v>0</v>
      </c>
      <c r="H15" s="16">
        <v>1</v>
      </c>
      <c r="I15" s="16">
        <v>0</v>
      </c>
      <c r="J15" s="16">
        <v>0</v>
      </c>
      <c r="K15" s="16">
        <v>0</v>
      </c>
      <c r="L15" s="16">
        <v>0</v>
      </c>
      <c r="M15" s="16">
        <v>0</v>
      </c>
      <c r="N15" s="16">
        <f>VLOOKUP(A15,Elasti_CSC_review_new!$G$2:$H$89,2,0)</f>
        <v>0</v>
      </c>
      <c r="O15" s="16">
        <f>VLOOKUP(A15,Elasti_GSC_review!$H$2:$I$89,2,0)</f>
        <v>0</v>
      </c>
      <c r="P15" s="16"/>
      <c r="Q15" s="16"/>
      <c r="R15" s="16"/>
      <c r="S15" s="16"/>
      <c r="T15" s="16"/>
      <c r="U15" s="16"/>
      <c r="V15" s="16"/>
      <c r="W15" s="16"/>
      <c r="X15" s="16"/>
      <c r="Y15" s="16"/>
      <c r="Z15" s="16"/>
      <c r="AA15" s="16"/>
      <c r="AB15" s="16"/>
      <c r="AC15" s="16"/>
      <c r="AD15" s="16"/>
      <c r="AE15" s="16" t="s">
        <v>850</v>
      </c>
    </row>
    <row r="16" spans="1:31" ht="13.5" customHeight="1" x14ac:dyDescent="0.3">
      <c r="A16" s="239" t="s">
        <v>377</v>
      </c>
      <c r="B16" s="16">
        <v>0</v>
      </c>
      <c r="C16" s="16">
        <v>0</v>
      </c>
      <c r="D16" s="16">
        <v>0</v>
      </c>
      <c r="E16" s="16">
        <v>0</v>
      </c>
      <c r="F16" s="16">
        <v>0</v>
      </c>
      <c r="G16" s="16">
        <v>0</v>
      </c>
      <c r="H16" s="16">
        <v>0</v>
      </c>
      <c r="I16" s="16">
        <v>0</v>
      </c>
      <c r="J16" s="16">
        <v>0</v>
      </c>
      <c r="K16" s="16">
        <v>0</v>
      </c>
      <c r="L16" s="16">
        <v>0</v>
      </c>
      <c r="M16" s="16">
        <v>0</v>
      </c>
      <c r="N16" s="16">
        <v>0</v>
      </c>
      <c r="O16" s="16">
        <v>0</v>
      </c>
      <c r="P16" s="16"/>
      <c r="Q16" s="16"/>
      <c r="R16" s="16"/>
      <c r="S16" s="16"/>
      <c r="T16" s="16"/>
      <c r="U16" s="16"/>
      <c r="V16" s="16"/>
      <c r="W16" s="16"/>
      <c r="X16" s="16"/>
      <c r="Y16" s="16"/>
      <c r="Z16" s="16"/>
      <c r="AA16" s="16"/>
      <c r="AB16" s="16"/>
      <c r="AC16" s="16"/>
      <c r="AD16" s="16"/>
      <c r="AE16" s="16" t="s">
        <v>851</v>
      </c>
    </row>
    <row r="17" spans="1:31" ht="13.5" customHeight="1" x14ac:dyDescent="0.3">
      <c r="A17" s="42" t="s">
        <v>221</v>
      </c>
      <c r="B17" s="16">
        <v>0</v>
      </c>
      <c r="C17" s="16">
        <v>1</v>
      </c>
      <c r="D17" s="16">
        <v>1</v>
      </c>
      <c r="E17" s="16">
        <v>0</v>
      </c>
      <c r="F17" s="16">
        <v>0</v>
      </c>
      <c r="G17" s="16">
        <v>0</v>
      </c>
      <c r="H17" s="16">
        <v>1</v>
      </c>
      <c r="I17" s="16">
        <v>0</v>
      </c>
      <c r="J17" s="16">
        <v>0</v>
      </c>
      <c r="K17" s="16">
        <v>0</v>
      </c>
      <c r="L17" s="16">
        <v>0</v>
      </c>
      <c r="M17" s="16">
        <v>0</v>
      </c>
      <c r="N17" s="16">
        <f>VLOOKUP(A17,Elasti_CSC_review_new!$G$2:$H$89,2,0)</f>
        <v>0</v>
      </c>
      <c r="O17" s="16">
        <f>VLOOKUP(A17,Elasti_GSC_review!$H$2:$I$89,2,0)</f>
        <v>0</v>
      </c>
      <c r="P17" s="16"/>
      <c r="Q17" s="16"/>
      <c r="R17" s="16"/>
      <c r="S17" s="16"/>
      <c r="T17" s="16"/>
      <c r="U17" s="16"/>
      <c r="V17" s="16"/>
      <c r="W17" s="16"/>
      <c r="X17" s="16"/>
      <c r="Y17" s="16"/>
      <c r="Z17" s="16"/>
      <c r="AA17" s="16"/>
      <c r="AB17" s="16"/>
      <c r="AC17" s="16"/>
      <c r="AD17" s="16"/>
      <c r="AE17" s="16" t="s">
        <v>852</v>
      </c>
    </row>
    <row r="18" spans="1:31" ht="13.5" customHeight="1" x14ac:dyDescent="0.3">
      <c r="A18" s="42" t="s">
        <v>186</v>
      </c>
      <c r="B18" s="16">
        <v>1</v>
      </c>
      <c r="C18" s="16">
        <v>1</v>
      </c>
      <c r="D18" s="16">
        <v>1</v>
      </c>
      <c r="E18" s="16">
        <v>1</v>
      </c>
      <c r="F18" s="16">
        <v>0</v>
      </c>
      <c r="G18" s="16">
        <v>0</v>
      </c>
      <c r="H18" s="16">
        <v>0</v>
      </c>
      <c r="I18" s="16">
        <v>0</v>
      </c>
      <c r="J18" s="16">
        <v>0</v>
      </c>
      <c r="K18" s="16">
        <v>0</v>
      </c>
      <c r="L18" s="16">
        <v>0</v>
      </c>
      <c r="M18" s="16">
        <v>0</v>
      </c>
      <c r="N18" s="16">
        <f>VLOOKUP(A18,Elasti_CSC_review_new!$G$2:$H$89,2,0)</f>
        <v>1</v>
      </c>
      <c r="O18" s="16">
        <f>VLOOKUP(A18,Elasti_GSC_review!$H$2:$I$89,2,0)</f>
        <v>0</v>
      </c>
      <c r="P18" s="16"/>
      <c r="Q18" s="16"/>
      <c r="R18" s="16"/>
      <c r="S18" s="16"/>
      <c r="T18" s="16"/>
      <c r="U18" s="16"/>
      <c r="V18" s="16"/>
      <c r="W18" s="16"/>
      <c r="X18" s="16"/>
      <c r="Y18" s="16"/>
      <c r="Z18" s="16"/>
      <c r="AA18" s="16"/>
      <c r="AB18" s="16"/>
      <c r="AC18" s="16"/>
      <c r="AD18" s="16"/>
      <c r="AE18" s="16" t="s">
        <v>853</v>
      </c>
    </row>
    <row r="19" spans="1:31" ht="13.5" customHeight="1" x14ac:dyDescent="0.3">
      <c r="A19" s="40" t="s">
        <v>637</v>
      </c>
      <c r="B19" s="16">
        <v>1</v>
      </c>
      <c r="C19" s="16">
        <v>1</v>
      </c>
      <c r="D19" s="16">
        <v>1</v>
      </c>
      <c r="E19" s="16">
        <v>1</v>
      </c>
      <c r="F19" s="16">
        <v>0</v>
      </c>
      <c r="G19" s="16">
        <v>1</v>
      </c>
      <c r="H19" s="16">
        <v>1</v>
      </c>
      <c r="I19" s="16">
        <v>0</v>
      </c>
      <c r="J19" s="16">
        <v>0</v>
      </c>
      <c r="K19" s="16">
        <v>0</v>
      </c>
      <c r="L19" s="16">
        <v>0</v>
      </c>
      <c r="M19" s="16">
        <v>1</v>
      </c>
      <c r="N19" s="16">
        <f>VLOOKUP(A19,Elasti_CSC_review_new!$G$2:$H$89,2,0)</f>
        <v>0</v>
      </c>
      <c r="O19" s="16">
        <f>VLOOKUP(A19,Elasti_GSC_review!$H$2:$I$89,2,0)</f>
        <v>1</v>
      </c>
      <c r="P19" s="16"/>
      <c r="Q19" s="16"/>
      <c r="R19" s="16"/>
      <c r="S19" s="16"/>
      <c r="T19" s="16"/>
      <c r="U19" s="16"/>
      <c r="V19" s="16"/>
      <c r="W19" s="16"/>
      <c r="X19" s="16"/>
      <c r="Y19" s="16"/>
      <c r="Z19" s="16"/>
      <c r="AA19" s="16"/>
      <c r="AB19" s="16"/>
      <c r="AC19" s="16"/>
      <c r="AD19" s="16"/>
      <c r="AE19" s="16" t="s">
        <v>854</v>
      </c>
    </row>
    <row r="20" spans="1:31" ht="13.5" customHeight="1" x14ac:dyDescent="0.3">
      <c r="A20" s="40" t="s">
        <v>638</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c r="Q20" s="16"/>
      <c r="R20" s="16"/>
      <c r="S20" s="16"/>
      <c r="T20" s="16"/>
      <c r="U20" s="16"/>
      <c r="V20" s="16"/>
      <c r="W20" s="16"/>
      <c r="X20" s="16"/>
      <c r="Y20" s="16"/>
      <c r="Z20" s="16"/>
      <c r="AA20" s="16"/>
      <c r="AB20" s="16"/>
      <c r="AC20" s="16"/>
      <c r="AD20" s="16"/>
      <c r="AE20" s="16" t="s">
        <v>855</v>
      </c>
    </row>
    <row r="21" spans="1:31" ht="13.5" customHeight="1" x14ac:dyDescent="0.3">
      <c r="A21" s="40" t="s">
        <v>388</v>
      </c>
      <c r="B21" s="16">
        <v>0</v>
      </c>
      <c r="C21" s="16">
        <v>0</v>
      </c>
      <c r="D21" s="16">
        <v>0</v>
      </c>
      <c r="E21" s="16">
        <v>0</v>
      </c>
      <c r="F21" s="16">
        <v>0</v>
      </c>
      <c r="G21" s="16">
        <v>0</v>
      </c>
      <c r="H21" s="16">
        <v>0</v>
      </c>
      <c r="I21" s="16">
        <v>0</v>
      </c>
      <c r="J21" s="16">
        <v>0</v>
      </c>
      <c r="K21" s="16">
        <v>0</v>
      </c>
      <c r="L21" s="16">
        <v>0</v>
      </c>
      <c r="M21" s="16">
        <v>0</v>
      </c>
      <c r="N21" s="16">
        <v>0</v>
      </c>
      <c r="O21" s="16">
        <v>0</v>
      </c>
      <c r="P21" s="16"/>
      <c r="Q21" s="16"/>
      <c r="R21" s="16"/>
      <c r="S21" s="16"/>
      <c r="T21" s="16"/>
      <c r="U21" s="16"/>
      <c r="V21" s="16"/>
      <c r="W21" s="16"/>
      <c r="X21" s="16"/>
      <c r="Y21" s="16"/>
      <c r="Z21" s="16"/>
      <c r="AA21" s="16"/>
      <c r="AB21" s="16"/>
      <c r="AC21" s="16"/>
      <c r="AD21" s="16"/>
      <c r="AE21" s="16" t="s">
        <v>856</v>
      </c>
    </row>
    <row r="22" spans="1:31" ht="13.5" customHeight="1" x14ac:dyDescent="0.3">
      <c r="A22" s="239" t="s">
        <v>416</v>
      </c>
      <c r="B22" s="16">
        <v>1</v>
      </c>
      <c r="C22" s="16">
        <v>1</v>
      </c>
      <c r="D22" s="16">
        <v>1</v>
      </c>
      <c r="E22" s="16">
        <v>1</v>
      </c>
      <c r="F22" s="16">
        <v>0</v>
      </c>
      <c r="G22" s="16">
        <v>0</v>
      </c>
      <c r="H22" s="16">
        <v>1</v>
      </c>
      <c r="I22" s="16">
        <v>0</v>
      </c>
      <c r="J22" s="16">
        <v>0</v>
      </c>
      <c r="K22" s="16">
        <v>0</v>
      </c>
      <c r="L22" s="16">
        <v>0</v>
      </c>
      <c r="M22" s="16">
        <v>0</v>
      </c>
      <c r="N22" s="16">
        <v>0</v>
      </c>
      <c r="O22" s="16">
        <v>0</v>
      </c>
      <c r="P22" s="16"/>
      <c r="Q22" s="16"/>
      <c r="R22" s="16"/>
      <c r="S22" s="16"/>
      <c r="T22" s="16"/>
      <c r="U22" s="16"/>
      <c r="V22" s="16"/>
      <c r="W22" s="16"/>
      <c r="X22" s="16"/>
      <c r="Y22" s="16"/>
      <c r="Z22" s="16"/>
      <c r="AA22" s="16"/>
      <c r="AB22" s="16"/>
      <c r="AC22" s="16"/>
      <c r="AD22" s="16"/>
      <c r="AE22" s="16" t="s">
        <v>857</v>
      </c>
    </row>
    <row r="23" spans="1:31" ht="13.5" customHeight="1" x14ac:dyDescent="0.3">
      <c r="A23" s="253" t="s">
        <v>163</v>
      </c>
      <c r="B23" s="63">
        <v>1</v>
      </c>
      <c r="C23" s="63">
        <v>1</v>
      </c>
      <c r="D23" s="63">
        <v>1</v>
      </c>
      <c r="E23" s="63">
        <v>1</v>
      </c>
      <c r="F23" s="63">
        <v>1</v>
      </c>
      <c r="G23" s="63">
        <v>1</v>
      </c>
      <c r="H23" s="63">
        <v>1</v>
      </c>
      <c r="I23" s="63">
        <v>0</v>
      </c>
      <c r="J23" s="63">
        <v>1</v>
      </c>
      <c r="K23" s="63">
        <v>0</v>
      </c>
      <c r="L23" s="63">
        <v>1</v>
      </c>
      <c r="M23" s="63">
        <v>1</v>
      </c>
      <c r="N23" s="16">
        <f>VLOOKUP(A23,Elasti_CSC_review_new!$G$2:$H$89,2,0)</f>
        <v>0</v>
      </c>
      <c r="O23" s="16">
        <f>VLOOKUP(A23,Elasti_GSC_review!$H$2:$I$89,2,0)</f>
        <v>1</v>
      </c>
      <c r="P23" s="16"/>
      <c r="Q23" s="16"/>
      <c r="R23" s="16"/>
      <c r="S23" s="16"/>
      <c r="T23" s="16"/>
      <c r="U23" s="16"/>
      <c r="V23" s="16"/>
      <c r="W23" s="16"/>
      <c r="X23" s="16"/>
      <c r="Y23" s="16"/>
      <c r="Z23" s="16"/>
      <c r="AA23" s="16"/>
      <c r="AB23" s="16"/>
      <c r="AC23" s="16"/>
      <c r="AD23" s="16"/>
      <c r="AE23" s="16"/>
    </row>
    <row r="24" spans="1:31" ht="13.5" customHeight="1" x14ac:dyDescent="0.3">
      <c r="A24" s="40" t="s">
        <v>640</v>
      </c>
      <c r="B24" s="16">
        <v>0</v>
      </c>
      <c r="C24" s="16">
        <v>1</v>
      </c>
      <c r="D24" s="16">
        <v>1</v>
      </c>
      <c r="E24" s="57">
        <v>1</v>
      </c>
      <c r="F24" s="16">
        <v>0</v>
      </c>
      <c r="G24" s="16">
        <v>0</v>
      </c>
      <c r="H24" s="16">
        <v>0</v>
      </c>
      <c r="I24" s="16">
        <v>0</v>
      </c>
      <c r="J24" s="16">
        <v>0</v>
      </c>
      <c r="K24" s="16">
        <v>0</v>
      </c>
      <c r="L24" s="16">
        <v>0</v>
      </c>
      <c r="M24" s="16">
        <v>0</v>
      </c>
      <c r="N24" s="16">
        <f>VLOOKUP(A24,Elasti_CSC_review_new!$G$2:$H$89,2,0)</f>
        <v>0</v>
      </c>
      <c r="O24" s="16">
        <f>VLOOKUP(A24,Elasti_GSC_review!$H$2:$I$89,2,0)</f>
        <v>0</v>
      </c>
      <c r="P24" s="16"/>
      <c r="Q24" s="16"/>
      <c r="R24" s="16"/>
      <c r="S24" s="16"/>
      <c r="T24" s="16"/>
      <c r="U24" s="16"/>
      <c r="V24" s="16"/>
      <c r="W24" s="16"/>
      <c r="X24" s="16"/>
      <c r="Y24" s="16"/>
      <c r="Z24" s="16"/>
      <c r="AA24" s="16"/>
      <c r="AB24" s="16"/>
      <c r="AC24" s="16"/>
      <c r="AD24" s="16"/>
      <c r="AE24" s="16" t="s">
        <v>858</v>
      </c>
    </row>
    <row r="25" spans="1:31" ht="13.5" customHeight="1" x14ac:dyDescent="0.3">
      <c r="A25" s="40" t="s">
        <v>641</v>
      </c>
      <c r="B25" s="16">
        <v>1</v>
      </c>
      <c r="C25" s="16">
        <v>1</v>
      </c>
      <c r="D25" s="16">
        <v>1</v>
      </c>
      <c r="E25" s="16">
        <v>1</v>
      </c>
      <c r="F25" s="16">
        <v>0</v>
      </c>
      <c r="G25" s="16">
        <v>0</v>
      </c>
      <c r="H25" s="16">
        <v>0</v>
      </c>
      <c r="I25" s="16">
        <v>0</v>
      </c>
      <c r="J25" s="16">
        <v>0</v>
      </c>
      <c r="K25" s="16">
        <v>0</v>
      </c>
      <c r="L25" s="16">
        <v>0</v>
      </c>
      <c r="M25" s="16">
        <v>0</v>
      </c>
      <c r="N25" s="16">
        <f>VLOOKUP(A25,Elasti_CSC_review_new!$G$2:$H$89,2,0)</f>
        <v>0</v>
      </c>
      <c r="O25" s="16">
        <f>VLOOKUP(A25,Elasti_GSC_review!$H$2:$I$89,2,0)</f>
        <v>0</v>
      </c>
      <c r="P25" s="16"/>
      <c r="Q25" s="16"/>
      <c r="R25" s="16"/>
      <c r="S25" s="16"/>
      <c r="T25" s="16"/>
      <c r="U25" s="16"/>
      <c r="V25" s="16"/>
      <c r="W25" s="16"/>
      <c r="X25" s="16"/>
      <c r="Y25" s="16"/>
      <c r="Z25" s="16"/>
      <c r="AA25" s="16"/>
      <c r="AB25" s="16"/>
      <c r="AC25" s="16"/>
      <c r="AD25" s="16"/>
      <c r="AE25" s="16" t="s">
        <v>859</v>
      </c>
    </row>
    <row r="26" spans="1:31" ht="13.5" customHeight="1" x14ac:dyDescent="0.3">
      <c r="A26" s="40" t="s">
        <v>642</v>
      </c>
      <c r="B26" s="16">
        <v>0</v>
      </c>
      <c r="C26" s="16">
        <v>1</v>
      </c>
      <c r="D26" s="16">
        <v>1</v>
      </c>
      <c r="E26" s="16">
        <v>0</v>
      </c>
      <c r="F26" s="16">
        <v>0</v>
      </c>
      <c r="G26" s="16">
        <v>0</v>
      </c>
      <c r="H26" s="16">
        <v>0</v>
      </c>
      <c r="I26" s="16">
        <v>0</v>
      </c>
      <c r="J26" s="16">
        <v>0</v>
      </c>
      <c r="K26" s="16">
        <v>0</v>
      </c>
      <c r="L26" s="16">
        <v>0</v>
      </c>
      <c r="M26" s="16">
        <v>0</v>
      </c>
      <c r="N26" s="16">
        <f>VLOOKUP(A26,Elasti_CSC_review_new!$G$2:$H$89,2,0)</f>
        <v>0</v>
      </c>
      <c r="O26" s="16">
        <f>VLOOKUP(A26,Elasti_GSC_review!$H$2:$I$89,2,0)</f>
        <v>0</v>
      </c>
      <c r="P26" s="16"/>
      <c r="Q26" s="16"/>
      <c r="R26" s="16"/>
      <c r="S26" s="16"/>
      <c r="T26" s="16"/>
      <c r="U26" s="16"/>
      <c r="V26" s="16"/>
      <c r="W26" s="16"/>
      <c r="X26" s="16"/>
      <c r="Y26" s="16"/>
      <c r="Z26" s="16"/>
      <c r="AA26" s="16"/>
      <c r="AB26" s="16"/>
      <c r="AC26" s="16"/>
      <c r="AD26" s="16"/>
      <c r="AE26" s="16" t="s">
        <v>860</v>
      </c>
    </row>
    <row r="27" spans="1:31" ht="13.5" customHeight="1" x14ac:dyDescent="0.3">
      <c r="A27" s="40" t="s">
        <v>643</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c r="Q27" s="16"/>
      <c r="R27" s="16"/>
      <c r="S27" s="16"/>
      <c r="T27" s="16"/>
      <c r="U27" s="16"/>
      <c r="V27" s="16"/>
      <c r="W27" s="16"/>
      <c r="X27" s="16"/>
      <c r="Y27" s="16"/>
      <c r="Z27" s="16"/>
      <c r="AA27" s="16"/>
      <c r="AB27" s="16"/>
      <c r="AC27" s="16"/>
      <c r="AD27" s="16"/>
      <c r="AE27" s="16" t="s">
        <v>861</v>
      </c>
    </row>
    <row r="28" spans="1:31" ht="13.5" customHeight="1" x14ac:dyDescent="0.3">
      <c r="A28" s="40" t="s">
        <v>639</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c r="Q28" s="16"/>
      <c r="R28" s="16"/>
      <c r="S28" s="16"/>
      <c r="T28" s="16"/>
      <c r="U28" s="16"/>
      <c r="V28" s="16"/>
      <c r="W28" s="16"/>
      <c r="X28" s="16"/>
      <c r="Y28" s="16"/>
      <c r="Z28" s="16"/>
      <c r="AA28" s="16"/>
      <c r="AB28" s="16"/>
      <c r="AC28" s="16"/>
      <c r="AD28" s="16"/>
      <c r="AE28" s="16" t="s">
        <v>862</v>
      </c>
    </row>
    <row r="29" spans="1:31" ht="13.5" customHeight="1" x14ac:dyDescent="0.3">
      <c r="A29" s="40" t="s">
        <v>75</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c r="Q29" s="16"/>
      <c r="R29" s="16"/>
      <c r="S29" s="16"/>
      <c r="T29" s="16"/>
      <c r="U29" s="16"/>
      <c r="V29" s="16"/>
      <c r="W29" s="16"/>
      <c r="X29" s="16"/>
      <c r="Y29" s="16"/>
      <c r="Z29" s="16"/>
      <c r="AA29" s="16"/>
      <c r="AB29" s="16"/>
      <c r="AC29" s="16"/>
      <c r="AD29" s="16"/>
      <c r="AE29" s="16" t="s">
        <v>863</v>
      </c>
    </row>
    <row r="30" spans="1:31" ht="13.5" customHeight="1" x14ac:dyDescent="0.3">
      <c r="A30" s="40" t="s">
        <v>133</v>
      </c>
      <c r="B30" s="16">
        <v>0</v>
      </c>
      <c r="C30" s="16">
        <v>0</v>
      </c>
      <c r="D30" s="16">
        <v>0</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c r="Q30" s="16"/>
      <c r="R30" s="16"/>
      <c r="S30" s="16"/>
      <c r="T30" s="16"/>
      <c r="U30" s="16"/>
      <c r="V30" s="16"/>
      <c r="W30" s="16"/>
      <c r="X30" s="16"/>
      <c r="Y30" s="16"/>
      <c r="Z30" s="16"/>
      <c r="AA30" s="16"/>
      <c r="AB30" s="16"/>
      <c r="AC30" s="16"/>
      <c r="AD30" s="16"/>
      <c r="AE30" s="16" t="s">
        <v>864</v>
      </c>
    </row>
    <row r="31" spans="1:31" ht="13.5" customHeight="1" x14ac:dyDescent="0.3">
      <c r="A31" s="40" t="s">
        <v>644</v>
      </c>
      <c r="B31" s="16">
        <v>1</v>
      </c>
      <c r="C31" s="16">
        <v>1</v>
      </c>
      <c r="D31" s="16">
        <v>1</v>
      </c>
      <c r="E31" s="16">
        <v>1</v>
      </c>
      <c r="F31" s="16">
        <v>0</v>
      </c>
      <c r="G31" s="16">
        <v>0</v>
      </c>
      <c r="H31" s="16">
        <v>1</v>
      </c>
      <c r="I31" s="16">
        <v>0</v>
      </c>
      <c r="J31" s="63">
        <v>1</v>
      </c>
      <c r="K31" s="63">
        <v>0</v>
      </c>
      <c r="L31" s="63">
        <v>0</v>
      </c>
      <c r="M31" s="16">
        <v>0</v>
      </c>
      <c r="N31" s="16">
        <f>VLOOKUP(A31,Elasti_CSC_review_new!$G$2:$H$89,2,0)</f>
        <v>0</v>
      </c>
      <c r="O31" s="16">
        <f>VLOOKUP(A31,Elasti_GSC_review!$H$2:$I$89,2,0)</f>
        <v>0</v>
      </c>
      <c r="P31" s="16"/>
      <c r="Q31" s="16"/>
      <c r="R31" s="16"/>
      <c r="S31" s="16"/>
      <c r="T31" s="16"/>
      <c r="U31" s="16"/>
      <c r="V31" s="16"/>
      <c r="W31" s="16"/>
      <c r="X31" s="16"/>
      <c r="Y31" s="16"/>
      <c r="Z31" s="16"/>
      <c r="AA31" s="16"/>
      <c r="AB31" s="16"/>
      <c r="AC31" s="16"/>
      <c r="AD31" s="16"/>
      <c r="AE31" s="16" t="s">
        <v>865</v>
      </c>
    </row>
    <row r="32" spans="1:31" ht="13.5" customHeight="1" x14ac:dyDescent="0.3">
      <c r="A32" s="40" t="s">
        <v>645</v>
      </c>
      <c r="B32" s="16">
        <v>1</v>
      </c>
      <c r="C32" s="16">
        <v>1</v>
      </c>
      <c r="D32" s="16">
        <v>1</v>
      </c>
      <c r="E32" s="16">
        <v>1</v>
      </c>
      <c r="F32" s="16">
        <v>0</v>
      </c>
      <c r="G32" s="16">
        <v>1</v>
      </c>
      <c r="H32" s="16">
        <v>1</v>
      </c>
      <c r="I32" s="16">
        <v>0</v>
      </c>
      <c r="J32" s="16">
        <v>0</v>
      </c>
      <c r="K32" s="16">
        <v>0</v>
      </c>
      <c r="L32" s="16">
        <v>0</v>
      </c>
      <c r="M32" s="16">
        <v>1</v>
      </c>
      <c r="N32" s="16">
        <f>VLOOKUP(A32,Elasti_CSC_review_new!$G$2:$H$89,2,0)</f>
        <v>1</v>
      </c>
      <c r="O32" s="16">
        <f>VLOOKUP(A32,Elasti_GSC_review!$H$2:$I$89,2,0)</f>
        <v>1</v>
      </c>
      <c r="P32" s="16"/>
      <c r="Q32" s="16"/>
      <c r="R32" s="16"/>
      <c r="S32" s="16"/>
      <c r="T32" s="16"/>
      <c r="U32" s="16"/>
      <c r="V32" s="16"/>
      <c r="W32" s="16"/>
      <c r="X32" s="16"/>
      <c r="Y32" s="16"/>
      <c r="Z32" s="16"/>
      <c r="AA32" s="16"/>
      <c r="AB32" s="16"/>
      <c r="AC32" s="16"/>
      <c r="AD32" s="16"/>
      <c r="AE32" s="16" t="s">
        <v>866</v>
      </c>
    </row>
    <row r="33" spans="1:31" ht="13.5" customHeight="1" x14ac:dyDescent="0.3">
      <c r="A33" s="40" t="s">
        <v>646</v>
      </c>
      <c r="B33" s="16">
        <v>1</v>
      </c>
      <c r="C33" s="16">
        <v>1</v>
      </c>
      <c r="D33" s="16">
        <v>1</v>
      </c>
      <c r="E33" s="16">
        <v>1</v>
      </c>
      <c r="F33" s="16">
        <v>0</v>
      </c>
      <c r="G33" s="16">
        <v>0</v>
      </c>
      <c r="H33" s="16">
        <v>1</v>
      </c>
      <c r="I33" s="16">
        <v>0</v>
      </c>
      <c r="J33" s="16">
        <v>0</v>
      </c>
      <c r="K33" s="16">
        <v>0</v>
      </c>
      <c r="L33" s="16">
        <v>0</v>
      </c>
      <c r="M33" s="16">
        <v>0</v>
      </c>
      <c r="N33" s="16">
        <f>VLOOKUP(A33,Elasti_CSC_review_new!$G$2:$H$89,2,0)</f>
        <v>0</v>
      </c>
      <c r="O33" s="16">
        <f>VLOOKUP(A33,Elasti_GSC_review!$H$2:$I$89,2,0)</f>
        <v>0</v>
      </c>
      <c r="P33" s="16"/>
      <c r="Q33" s="16"/>
      <c r="R33" s="16"/>
      <c r="S33" s="16"/>
      <c r="T33" s="16"/>
      <c r="U33" s="16"/>
      <c r="V33" s="16"/>
      <c r="W33" s="16"/>
      <c r="X33" s="16"/>
      <c r="Y33" s="16"/>
      <c r="Z33" s="16"/>
      <c r="AA33" s="16"/>
      <c r="AB33" s="16"/>
      <c r="AC33" s="16"/>
      <c r="AD33" s="16"/>
      <c r="AE33" s="16" t="s">
        <v>867</v>
      </c>
    </row>
    <row r="34" spans="1:31" ht="13.5" customHeight="1" x14ac:dyDescent="0.3">
      <c r="A34" s="40" t="s">
        <v>647</v>
      </c>
      <c r="B34" s="16">
        <v>1</v>
      </c>
      <c r="C34" s="16">
        <v>1</v>
      </c>
      <c r="D34" s="16">
        <v>1</v>
      </c>
      <c r="E34" s="16">
        <v>1</v>
      </c>
      <c r="F34" s="16">
        <v>0</v>
      </c>
      <c r="G34" s="16">
        <v>0</v>
      </c>
      <c r="H34" s="16">
        <v>1</v>
      </c>
      <c r="I34" s="16">
        <v>0</v>
      </c>
      <c r="J34" s="16">
        <v>0</v>
      </c>
      <c r="K34" s="16">
        <v>0</v>
      </c>
      <c r="L34" s="16">
        <v>0</v>
      </c>
      <c r="M34" s="16">
        <v>0</v>
      </c>
      <c r="N34" s="16">
        <f>VLOOKUP(A34,Elasti_CSC_review_new!$G$2:$H$89,2,0)</f>
        <v>0</v>
      </c>
      <c r="O34" s="16">
        <f>VLOOKUP(A34,Elasti_GSC_review!$H$2:$I$89,2,0)</f>
        <v>0</v>
      </c>
      <c r="P34" s="16"/>
      <c r="Q34" s="16"/>
      <c r="R34" s="16"/>
      <c r="S34" s="16"/>
      <c r="T34" s="16"/>
      <c r="U34" s="16"/>
      <c r="V34" s="16"/>
      <c r="W34" s="16"/>
      <c r="X34" s="16"/>
      <c r="Y34" s="16"/>
      <c r="Z34" s="16"/>
      <c r="AA34" s="16"/>
      <c r="AB34" s="16"/>
      <c r="AC34" s="16"/>
      <c r="AD34" s="16"/>
      <c r="AE34" s="16" t="s">
        <v>868</v>
      </c>
    </row>
    <row r="35" spans="1:31" ht="13.5" customHeight="1" x14ac:dyDescent="0.3">
      <c r="A35" s="40" t="s">
        <v>91</v>
      </c>
      <c r="B35" s="16">
        <v>0</v>
      </c>
      <c r="C35" s="16">
        <v>1</v>
      </c>
      <c r="D35" s="16">
        <v>1</v>
      </c>
      <c r="E35" s="16">
        <v>0</v>
      </c>
      <c r="F35" s="16">
        <v>0</v>
      </c>
      <c r="G35" s="16">
        <v>0</v>
      </c>
      <c r="H35" s="16">
        <v>0</v>
      </c>
      <c r="I35" s="16">
        <v>0</v>
      </c>
      <c r="J35" s="16">
        <v>0</v>
      </c>
      <c r="K35" s="16">
        <v>0</v>
      </c>
      <c r="L35" s="16">
        <v>0</v>
      </c>
      <c r="M35" s="16">
        <v>0</v>
      </c>
      <c r="N35" s="16">
        <f>VLOOKUP(A35,Elasti_CSC_review_new!$G$2:$H$89,2,0)</f>
        <v>1</v>
      </c>
      <c r="O35" s="16">
        <f>VLOOKUP(A35,Elasti_GSC_review!$H$2:$I$89,2,0)</f>
        <v>0</v>
      </c>
      <c r="P35" s="16"/>
      <c r="Q35" s="16"/>
      <c r="R35" s="16"/>
      <c r="S35" s="16"/>
      <c r="T35" s="16"/>
      <c r="U35" s="16"/>
      <c r="V35" s="16"/>
      <c r="W35" s="16"/>
      <c r="X35" s="16"/>
      <c r="Y35" s="16"/>
      <c r="Z35" s="16"/>
      <c r="AA35" s="16"/>
      <c r="AB35" s="16"/>
      <c r="AC35" s="16"/>
      <c r="AD35" s="16"/>
      <c r="AE35" s="16" t="s">
        <v>869</v>
      </c>
    </row>
    <row r="36" spans="1:31" ht="13.5" customHeight="1" x14ac:dyDescent="0.3">
      <c r="A36" s="254" t="s">
        <v>809</v>
      </c>
      <c r="B36" s="16">
        <v>0</v>
      </c>
      <c r="C36" s="16">
        <v>0</v>
      </c>
      <c r="D36" s="16">
        <v>0</v>
      </c>
      <c r="E36" s="16">
        <v>1</v>
      </c>
      <c r="F36" s="16">
        <v>1</v>
      </c>
      <c r="G36" s="16">
        <v>0</v>
      </c>
      <c r="H36" s="16">
        <v>1</v>
      </c>
      <c r="I36" s="16">
        <v>1</v>
      </c>
      <c r="J36" s="16">
        <v>1</v>
      </c>
      <c r="K36" s="16">
        <v>1</v>
      </c>
      <c r="L36" s="16">
        <v>1</v>
      </c>
      <c r="M36" s="16">
        <v>0</v>
      </c>
      <c r="N36" s="16">
        <f>VLOOKUP(A36,Elasti_CSC_review_new!$G$2:$H$89,2,0)</f>
        <v>1</v>
      </c>
      <c r="O36" s="16">
        <f>VLOOKUP(A36,Elasti_GSC_review!$H$2:$I$89,2,0)</f>
        <v>0</v>
      </c>
      <c r="P36" s="16"/>
      <c r="Q36" s="16"/>
      <c r="R36" s="16"/>
      <c r="S36" s="16"/>
      <c r="T36" s="16"/>
      <c r="U36" s="16"/>
      <c r="V36" s="16"/>
      <c r="W36" s="16"/>
      <c r="X36" s="16"/>
      <c r="Y36" s="16"/>
      <c r="Z36" s="16"/>
      <c r="AA36" s="16"/>
      <c r="AB36" s="16"/>
      <c r="AC36" s="16"/>
      <c r="AD36" s="16"/>
      <c r="AE36" s="16" t="s">
        <v>814</v>
      </c>
    </row>
    <row r="37" spans="1:31" ht="13.5" customHeight="1" x14ac:dyDescent="0.3">
      <c r="A37" s="40" t="s">
        <v>649</v>
      </c>
      <c r="B37" s="16">
        <v>1</v>
      </c>
      <c r="C37" s="16">
        <v>1</v>
      </c>
      <c r="D37" s="16">
        <v>1</v>
      </c>
      <c r="E37" s="16">
        <v>1</v>
      </c>
      <c r="F37" s="16">
        <v>0</v>
      </c>
      <c r="G37" s="16">
        <v>0</v>
      </c>
      <c r="H37" s="16">
        <v>1</v>
      </c>
      <c r="I37" s="16">
        <v>0</v>
      </c>
      <c r="J37" s="16">
        <v>0</v>
      </c>
      <c r="K37" s="16">
        <v>0</v>
      </c>
      <c r="L37" s="16">
        <v>0</v>
      </c>
      <c r="M37" s="16">
        <v>0</v>
      </c>
      <c r="N37" s="16">
        <f>VLOOKUP(A37,Elasti_CSC_review_new!$G$2:$H$89,2,0)</f>
        <v>1</v>
      </c>
      <c r="O37" s="16">
        <f>VLOOKUP(A37,Elasti_GSC_review!$H$2:$I$89,2,0)</f>
        <v>0</v>
      </c>
      <c r="P37" s="16"/>
      <c r="Q37" s="16"/>
      <c r="R37" s="16"/>
      <c r="S37" s="16"/>
      <c r="T37" s="16"/>
      <c r="U37" s="16"/>
      <c r="V37" s="16"/>
      <c r="W37" s="16"/>
      <c r="X37" s="16"/>
      <c r="Y37" s="16"/>
      <c r="Z37" s="16"/>
      <c r="AA37" s="16"/>
      <c r="AB37" s="16"/>
      <c r="AC37" s="16"/>
      <c r="AD37" s="16"/>
      <c r="AE37" s="16" t="s">
        <v>870</v>
      </c>
    </row>
    <row r="38" spans="1:31" ht="13.5" customHeight="1" x14ac:dyDescent="0.3">
      <c r="A38" s="239" t="s">
        <v>100</v>
      </c>
      <c r="B38" s="16">
        <v>0</v>
      </c>
      <c r="C38" s="16">
        <v>1</v>
      </c>
      <c r="D38" s="16">
        <v>0</v>
      </c>
      <c r="E38" s="16">
        <v>0</v>
      </c>
      <c r="F38" s="16">
        <v>0</v>
      </c>
      <c r="G38" s="16">
        <v>0</v>
      </c>
      <c r="H38" s="16">
        <v>1</v>
      </c>
      <c r="I38" s="16">
        <v>0</v>
      </c>
      <c r="J38" s="16">
        <v>0</v>
      </c>
      <c r="K38" s="16">
        <v>0</v>
      </c>
      <c r="L38" s="16">
        <v>0</v>
      </c>
      <c r="M38" s="16">
        <v>0</v>
      </c>
      <c r="N38" s="16">
        <f>VLOOKUP(A38,Elasti_CSC_review_new!$G$2:$H$89,2,0)</f>
        <v>0</v>
      </c>
      <c r="O38" s="16">
        <f>VLOOKUP(A38,Elasti_GSC_review!$H$2:$I$89,2,0)</f>
        <v>0</v>
      </c>
      <c r="P38" s="16"/>
      <c r="Q38" s="16"/>
      <c r="R38" s="16"/>
      <c r="S38" s="16"/>
      <c r="T38" s="16"/>
      <c r="U38" s="16"/>
      <c r="V38" s="16"/>
      <c r="W38" s="16"/>
      <c r="X38" s="16"/>
      <c r="Y38" s="16"/>
      <c r="Z38" s="16"/>
      <c r="AA38" s="16"/>
      <c r="AB38" s="16"/>
      <c r="AC38" s="16"/>
      <c r="AD38" s="16"/>
      <c r="AE38" s="16" t="s">
        <v>871</v>
      </c>
    </row>
    <row r="39" spans="1:31" ht="13.5" customHeight="1" x14ac:dyDescent="0.3">
      <c r="A39" s="40" t="s">
        <v>119</v>
      </c>
      <c r="B39" s="16">
        <v>1</v>
      </c>
      <c r="C39" s="16">
        <v>0</v>
      </c>
      <c r="D39" s="16">
        <v>0</v>
      </c>
      <c r="E39" s="16">
        <v>1</v>
      </c>
      <c r="F39" s="16">
        <v>1</v>
      </c>
      <c r="G39" s="16">
        <v>0</v>
      </c>
      <c r="H39" s="16">
        <v>0</v>
      </c>
      <c r="I39" s="16">
        <v>0</v>
      </c>
      <c r="J39" s="16">
        <v>0</v>
      </c>
      <c r="K39" s="16">
        <v>0</v>
      </c>
      <c r="L39" s="16">
        <v>0</v>
      </c>
      <c r="M39" s="16">
        <v>0</v>
      </c>
      <c r="N39" s="16">
        <f>VLOOKUP(A39,Elasti_CSC_review_new!$G$2:$H$89,2,0)</f>
        <v>0</v>
      </c>
      <c r="O39" s="16">
        <f>VLOOKUP(A39,Elasti_GSC_review!$H$2:$I$89,2,0)</f>
        <v>0</v>
      </c>
      <c r="P39" s="16"/>
      <c r="Q39" s="16"/>
      <c r="R39" s="16"/>
      <c r="S39" s="16"/>
      <c r="T39" s="16"/>
      <c r="U39" s="16"/>
      <c r="V39" s="16"/>
      <c r="W39" s="16"/>
      <c r="X39" s="16"/>
      <c r="Y39" s="16"/>
      <c r="Z39" s="16"/>
      <c r="AA39" s="16"/>
      <c r="AB39" s="16"/>
      <c r="AC39" s="16"/>
      <c r="AD39" s="16"/>
      <c r="AE39" s="16" t="s">
        <v>872</v>
      </c>
    </row>
    <row r="40" spans="1:31" ht="13.5" customHeight="1" x14ac:dyDescent="0.3">
      <c r="A40" s="40" t="s">
        <v>122</v>
      </c>
      <c r="B40" s="16">
        <v>1</v>
      </c>
      <c r="C40" s="16">
        <v>0</v>
      </c>
      <c r="D40" s="16">
        <v>0</v>
      </c>
      <c r="E40" s="16">
        <v>1</v>
      </c>
      <c r="F40" s="16">
        <v>1</v>
      </c>
      <c r="G40" s="16">
        <v>0</v>
      </c>
      <c r="H40" s="16">
        <v>0</v>
      </c>
      <c r="I40" s="16">
        <v>0</v>
      </c>
      <c r="J40" s="16">
        <v>0</v>
      </c>
      <c r="K40" s="16">
        <v>0</v>
      </c>
      <c r="L40" s="16">
        <v>0</v>
      </c>
      <c r="M40" s="16">
        <v>0</v>
      </c>
      <c r="N40" s="16">
        <f>VLOOKUP(A40,Elasti_CSC_review_new!$G$2:$H$89,2,0)</f>
        <v>0</v>
      </c>
      <c r="O40" s="16">
        <f>VLOOKUP(A40,Elasti_GSC_review!$H$2:$I$89,2,0)</f>
        <v>0</v>
      </c>
      <c r="P40" s="16"/>
      <c r="Q40" s="16"/>
      <c r="R40" s="16"/>
      <c r="S40" s="16"/>
      <c r="T40" s="16"/>
      <c r="U40" s="16"/>
      <c r="V40" s="16"/>
      <c r="W40" s="16"/>
      <c r="X40" s="16"/>
      <c r="Y40" s="16"/>
      <c r="Z40" s="16"/>
      <c r="AA40" s="16"/>
      <c r="AB40" s="16"/>
      <c r="AC40" s="16"/>
      <c r="AD40" s="16"/>
      <c r="AE40" s="16" t="s">
        <v>872</v>
      </c>
    </row>
    <row r="41" spans="1:31" ht="13.5" customHeight="1" x14ac:dyDescent="0.3">
      <c r="A41" s="63" t="s">
        <v>157</v>
      </c>
      <c r="B41" s="63">
        <v>1</v>
      </c>
      <c r="C41" s="63">
        <v>1</v>
      </c>
      <c r="D41" s="63">
        <v>1</v>
      </c>
      <c r="E41" s="63">
        <v>1</v>
      </c>
      <c r="F41" s="63">
        <v>1</v>
      </c>
      <c r="G41" s="63">
        <v>1</v>
      </c>
      <c r="H41" s="63">
        <v>1</v>
      </c>
      <c r="I41" s="63">
        <v>1</v>
      </c>
      <c r="J41" s="63">
        <v>0</v>
      </c>
      <c r="K41" s="63">
        <v>0</v>
      </c>
      <c r="L41" s="63">
        <v>0</v>
      </c>
      <c r="M41" s="63">
        <v>1</v>
      </c>
      <c r="N41" s="16">
        <f>VLOOKUP(A41,Elasti_CSC_review_new!$G$2:$H$89,2,0)</f>
        <v>0</v>
      </c>
      <c r="O41" s="16">
        <f>VLOOKUP(A41,Elasti_GSC_review!$H$2:$I$89,2,0)</f>
        <v>1</v>
      </c>
      <c r="P41" s="16"/>
      <c r="Q41" s="16"/>
      <c r="R41" s="16"/>
      <c r="S41" s="16"/>
      <c r="T41" s="16"/>
      <c r="U41" s="16"/>
      <c r="V41" s="16"/>
      <c r="W41" s="16"/>
      <c r="X41" s="16"/>
      <c r="Y41" s="16"/>
      <c r="Z41" s="16"/>
      <c r="AA41" s="16"/>
      <c r="AB41" s="16"/>
      <c r="AC41" s="16"/>
      <c r="AD41" s="16"/>
      <c r="AE41" s="16"/>
    </row>
    <row r="42" spans="1:31" ht="13.5" customHeight="1" x14ac:dyDescent="0.3">
      <c r="A42" s="63" t="s">
        <v>257</v>
      </c>
      <c r="B42" s="63">
        <v>1</v>
      </c>
      <c r="C42" s="63">
        <v>1</v>
      </c>
      <c r="D42" s="63">
        <v>1</v>
      </c>
      <c r="E42" s="63">
        <v>1</v>
      </c>
      <c r="F42" s="63">
        <v>1</v>
      </c>
      <c r="G42" s="63">
        <v>0</v>
      </c>
      <c r="H42" s="63">
        <v>0</v>
      </c>
      <c r="I42" s="63">
        <v>0</v>
      </c>
      <c r="J42" s="63">
        <v>0</v>
      </c>
      <c r="K42" s="63">
        <v>0</v>
      </c>
      <c r="L42" s="63">
        <v>0</v>
      </c>
      <c r="M42" s="63">
        <v>0</v>
      </c>
      <c r="N42" s="16">
        <v>0</v>
      </c>
      <c r="O42" s="16">
        <v>0</v>
      </c>
      <c r="P42" s="16"/>
      <c r="Q42" s="16"/>
      <c r="R42" s="16"/>
      <c r="S42" s="16"/>
      <c r="T42" s="16"/>
      <c r="U42" s="16"/>
      <c r="V42" s="16"/>
      <c r="W42" s="16"/>
      <c r="X42" s="16"/>
      <c r="Y42" s="16"/>
      <c r="Z42" s="16"/>
      <c r="AA42" s="16"/>
      <c r="AB42" s="16"/>
      <c r="AC42" s="16"/>
      <c r="AD42" s="16"/>
      <c r="AE42" s="16"/>
    </row>
    <row r="43" spans="1:31" ht="13.5" customHeight="1" x14ac:dyDescent="0.3">
      <c r="A43" s="40" t="s">
        <v>650</v>
      </c>
      <c r="B43" s="16">
        <v>1</v>
      </c>
      <c r="C43" s="16">
        <v>1</v>
      </c>
      <c r="D43" s="16">
        <v>1</v>
      </c>
      <c r="E43" s="16">
        <v>1</v>
      </c>
      <c r="F43" s="16">
        <v>0</v>
      </c>
      <c r="G43" s="16">
        <v>0</v>
      </c>
      <c r="H43" s="16">
        <v>0</v>
      </c>
      <c r="I43" s="16">
        <v>0</v>
      </c>
      <c r="J43" s="16">
        <v>0</v>
      </c>
      <c r="K43" s="16">
        <v>0</v>
      </c>
      <c r="L43" s="16">
        <v>0</v>
      </c>
      <c r="M43" s="16">
        <v>0</v>
      </c>
      <c r="N43" s="16">
        <f>VLOOKUP(A43,Elasti_CSC_review_new!$G$2:$H$89,2,0)</f>
        <v>0</v>
      </c>
      <c r="O43" s="16">
        <f>VLOOKUP(A43,Elasti_GSC_review!$H$2:$I$89,2,0)</f>
        <v>0</v>
      </c>
      <c r="P43" s="16"/>
      <c r="Q43" s="16"/>
      <c r="R43" s="16"/>
      <c r="S43" s="16"/>
      <c r="T43" s="16"/>
      <c r="U43" s="16"/>
      <c r="V43" s="16"/>
      <c r="W43" s="16"/>
      <c r="X43" s="16"/>
      <c r="Y43" s="16"/>
      <c r="Z43" s="16"/>
      <c r="AA43" s="16"/>
      <c r="AB43" s="16"/>
      <c r="AC43" s="16"/>
      <c r="AD43" s="16"/>
      <c r="AE43" s="16" t="s">
        <v>873</v>
      </c>
    </row>
    <row r="44" spans="1:31" ht="13.5" customHeight="1" x14ac:dyDescent="0.3">
      <c r="A44" s="239" t="s">
        <v>651</v>
      </c>
      <c r="B44" s="16">
        <v>1</v>
      </c>
      <c r="C44" s="16">
        <v>1</v>
      </c>
      <c r="D44" s="16">
        <v>1</v>
      </c>
      <c r="E44" s="16">
        <v>1</v>
      </c>
      <c r="F44" s="16">
        <v>0</v>
      </c>
      <c r="G44" s="16">
        <v>1</v>
      </c>
      <c r="H44" s="16">
        <v>1</v>
      </c>
      <c r="I44" s="16">
        <v>0</v>
      </c>
      <c r="J44" s="16">
        <v>0</v>
      </c>
      <c r="K44" s="16">
        <v>0</v>
      </c>
      <c r="L44" s="16">
        <v>0</v>
      </c>
      <c r="M44" s="16">
        <v>1</v>
      </c>
      <c r="N44" s="16">
        <f>VLOOKUP(A44,Elasti_CSC_review_new!$G$2:$H$89,2,0)</f>
        <v>0</v>
      </c>
      <c r="O44" s="16">
        <f>VLOOKUP(A44,Elasti_GSC_review!$H$2:$I$89,2,0)</f>
        <v>1</v>
      </c>
      <c r="P44" s="16"/>
      <c r="Q44" s="16"/>
      <c r="R44" s="16"/>
      <c r="S44" s="16"/>
      <c r="T44" s="16"/>
      <c r="U44" s="16"/>
      <c r="V44" s="16"/>
      <c r="W44" s="16"/>
      <c r="X44" s="16"/>
      <c r="Y44" s="16"/>
      <c r="Z44" s="16"/>
      <c r="AA44" s="16"/>
      <c r="AB44" s="16"/>
      <c r="AC44" s="16"/>
      <c r="AD44" s="16"/>
      <c r="AE44" s="16" t="s">
        <v>874</v>
      </c>
    </row>
    <row r="45" spans="1:31" ht="13.5" customHeight="1" x14ac:dyDescent="0.3">
      <c r="A45" s="40" t="s">
        <v>144</v>
      </c>
      <c r="B45" s="16">
        <v>1</v>
      </c>
      <c r="C45" s="16">
        <v>1</v>
      </c>
      <c r="D45" s="16">
        <v>1</v>
      </c>
      <c r="E45" s="16">
        <v>1</v>
      </c>
      <c r="F45" s="16">
        <v>0</v>
      </c>
      <c r="G45" s="16">
        <v>0</v>
      </c>
      <c r="H45" s="16">
        <v>1</v>
      </c>
      <c r="I45" s="16">
        <v>1</v>
      </c>
      <c r="J45" s="16">
        <v>0</v>
      </c>
      <c r="K45" s="16">
        <v>0</v>
      </c>
      <c r="L45" s="16">
        <v>0</v>
      </c>
      <c r="M45" s="16">
        <v>0</v>
      </c>
      <c r="N45" s="16">
        <f>VLOOKUP(A45,Elasti_CSC_review_new!$G$2:$H$89,2,0)</f>
        <v>0</v>
      </c>
      <c r="O45" s="16">
        <f>VLOOKUP(A45,Elasti_GSC_review!$H$2:$I$89,2,0)</f>
        <v>0</v>
      </c>
      <c r="P45" s="16"/>
      <c r="Q45" s="16"/>
      <c r="R45" s="16"/>
      <c r="S45" s="16"/>
      <c r="T45" s="16"/>
      <c r="U45" s="16"/>
      <c r="V45" s="16"/>
      <c r="W45" s="16"/>
      <c r="X45" s="16"/>
      <c r="Y45" s="16"/>
      <c r="Z45" s="16"/>
      <c r="AA45" s="16"/>
      <c r="AB45" s="16"/>
      <c r="AC45" s="16"/>
      <c r="AD45" s="16"/>
      <c r="AE45" s="16" t="s">
        <v>875</v>
      </c>
    </row>
    <row r="46" spans="1:31" ht="13.5" customHeight="1" x14ac:dyDescent="0.3">
      <c r="A46" s="239" t="s">
        <v>1572</v>
      </c>
      <c r="B46" s="16">
        <v>0</v>
      </c>
      <c r="C46" s="16">
        <v>0</v>
      </c>
      <c r="D46" s="16">
        <v>0</v>
      </c>
      <c r="E46" s="16">
        <v>0</v>
      </c>
      <c r="F46" s="16">
        <v>0</v>
      </c>
      <c r="G46" s="16">
        <v>0</v>
      </c>
      <c r="H46" s="16">
        <v>0</v>
      </c>
      <c r="I46" s="16">
        <v>0</v>
      </c>
      <c r="J46" s="16">
        <v>0</v>
      </c>
      <c r="K46" s="16">
        <v>0</v>
      </c>
      <c r="L46" s="16">
        <v>0</v>
      </c>
      <c r="M46" s="16">
        <v>0</v>
      </c>
      <c r="N46" s="16">
        <v>1</v>
      </c>
      <c r="O46" s="16">
        <v>1</v>
      </c>
      <c r="P46" s="16"/>
      <c r="Q46" s="16"/>
      <c r="R46" s="16"/>
      <c r="S46" s="16"/>
      <c r="T46" s="16"/>
      <c r="U46" s="16"/>
      <c r="V46" s="16"/>
      <c r="W46" s="16"/>
      <c r="X46" s="16"/>
      <c r="Y46" s="16"/>
      <c r="Z46" s="16"/>
      <c r="AA46" s="16"/>
      <c r="AB46" s="16"/>
      <c r="AC46" s="16"/>
      <c r="AD46" s="16"/>
      <c r="AE46" s="16"/>
    </row>
    <row r="47" spans="1:31" ht="13.5" customHeight="1" x14ac:dyDescent="0.3">
      <c r="A47" s="18" t="s">
        <v>616</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row>
    <row r="48" spans="1:31" ht="13.5" customHeight="1" x14ac:dyDescent="0.3">
      <c r="A48" s="16" t="s">
        <v>614</v>
      </c>
      <c r="B48" s="16">
        <v>1</v>
      </c>
      <c r="C48" s="16">
        <v>1</v>
      </c>
      <c r="D48" s="16">
        <v>1</v>
      </c>
      <c r="E48" s="16">
        <v>1</v>
      </c>
      <c r="F48" s="16">
        <v>1</v>
      </c>
      <c r="G48" s="16">
        <v>0</v>
      </c>
      <c r="H48" s="16">
        <v>1</v>
      </c>
      <c r="I48" s="16">
        <v>1</v>
      </c>
      <c r="J48" s="16">
        <v>1</v>
      </c>
      <c r="K48" s="16">
        <v>1</v>
      </c>
      <c r="L48" s="16">
        <v>1</v>
      </c>
      <c r="M48" s="16">
        <v>0</v>
      </c>
      <c r="N48" s="16">
        <v>1</v>
      </c>
      <c r="O48" s="16">
        <v>0</v>
      </c>
      <c r="P48" s="16"/>
      <c r="Q48" s="16"/>
      <c r="R48" s="16"/>
      <c r="S48" s="16"/>
      <c r="T48" s="16"/>
      <c r="U48" s="16"/>
      <c r="V48" s="16"/>
      <c r="W48" s="16"/>
      <c r="X48" s="16"/>
      <c r="Y48" s="16"/>
      <c r="Z48" s="16"/>
      <c r="AA48" s="16"/>
      <c r="AB48" s="16"/>
      <c r="AC48" s="16"/>
      <c r="AD48" s="16"/>
      <c r="AE48" s="138" t="s">
        <v>843</v>
      </c>
    </row>
    <row r="49" spans="1:31" ht="13.5" customHeight="1" x14ac:dyDescent="0.3">
      <c r="A49" s="16" t="s">
        <v>615</v>
      </c>
      <c r="B49" s="16">
        <v>1</v>
      </c>
      <c r="C49" s="16">
        <v>1</v>
      </c>
      <c r="D49" s="16">
        <v>1</v>
      </c>
      <c r="E49" s="16">
        <v>1</v>
      </c>
      <c r="F49" s="16">
        <v>1</v>
      </c>
      <c r="G49" s="16">
        <v>0</v>
      </c>
      <c r="H49" s="16">
        <v>1</v>
      </c>
      <c r="I49" s="16">
        <v>1</v>
      </c>
      <c r="J49" s="16">
        <v>1</v>
      </c>
      <c r="K49" s="16">
        <v>1</v>
      </c>
      <c r="L49" s="16">
        <v>1</v>
      </c>
      <c r="M49" s="16">
        <v>0</v>
      </c>
      <c r="N49" s="16">
        <v>1</v>
      </c>
      <c r="O49" s="16">
        <v>0</v>
      </c>
      <c r="P49" s="16"/>
      <c r="Q49" s="16"/>
      <c r="R49" s="16"/>
      <c r="S49" s="16"/>
      <c r="T49" s="16"/>
      <c r="U49" s="16"/>
      <c r="V49" s="16"/>
      <c r="W49" s="16"/>
      <c r="X49" s="16"/>
      <c r="Y49" s="16"/>
      <c r="Z49" s="16"/>
      <c r="AA49" s="16"/>
      <c r="AB49" s="16"/>
      <c r="AC49" s="16"/>
      <c r="AD49" s="16"/>
      <c r="AE49" s="138" t="s">
        <v>844</v>
      </c>
    </row>
    <row r="50" spans="1:31" ht="13.5" customHeight="1" x14ac:dyDescent="0.3">
      <c r="A50" s="63" t="s">
        <v>1176</v>
      </c>
      <c r="B50" s="16">
        <v>1</v>
      </c>
      <c r="C50" s="16">
        <v>1</v>
      </c>
      <c r="D50" s="16">
        <v>1</v>
      </c>
      <c r="E50" s="16">
        <v>1</v>
      </c>
      <c r="F50" s="16">
        <v>0</v>
      </c>
      <c r="G50" s="16">
        <v>0</v>
      </c>
      <c r="H50" s="16">
        <v>1</v>
      </c>
      <c r="I50" s="16">
        <v>0</v>
      </c>
      <c r="J50" s="63">
        <v>1</v>
      </c>
      <c r="K50" s="63">
        <v>0</v>
      </c>
      <c r="L50" s="63">
        <v>1</v>
      </c>
      <c r="M50" s="16">
        <v>0</v>
      </c>
      <c r="N50" s="16">
        <v>0</v>
      </c>
      <c r="O50" s="16">
        <v>0</v>
      </c>
      <c r="P50" s="16"/>
      <c r="Q50" s="16"/>
      <c r="R50" s="16"/>
      <c r="S50" s="16"/>
      <c r="T50" s="16"/>
      <c r="U50" s="16"/>
      <c r="V50" s="16"/>
      <c r="W50" s="16"/>
      <c r="X50" s="16"/>
      <c r="Y50" s="16"/>
      <c r="Z50" s="16"/>
      <c r="AA50" s="16"/>
      <c r="AB50" s="16"/>
      <c r="AC50" s="16"/>
      <c r="AD50" s="16"/>
      <c r="AE50" s="138" t="s">
        <v>1177</v>
      </c>
    </row>
    <row r="51" spans="1:31" ht="13.5" customHeight="1" x14ac:dyDescent="0.3">
      <c r="A51" s="18" t="s">
        <v>417</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1" ht="13.5" customHeight="1" x14ac:dyDescent="0.3">
      <c r="A52" s="4" t="s">
        <v>395</v>
      </c>
      <c r="B52" s="16">
        <v>512</v>
      </c>
      <c r="C52" s="16">
        <v>512</v>
      </c>
      <c r="D52" s="16">
        <v>512</v>
      </c>
      <c r="E52" s="16">
        <v>512</v>
      </c>
      <c r="F52" s="16">
        <v>512</v>
      </c>
      <c r="G52" s="16">
        <v>512</v>
      </c>
      <c r="H52" s="16">
        <v>512</v>
      </c>
      <c r="I52" s="16">
        <v>512</v>
      </c>
      <c r="J52" s="16">
        <v>512</v>
      </c>
      <c r="K52" s="16">
        <v>512</v>
      </c>
      <c r="L52" s="16">
        <v>512</v>
      </c>
      <c r="M52" s="16">
        <v>512</v>
      </c>
      <c r="N52" s="16">
        <v>512</v>
      </c>
      <c r="O52" s="16">
        <v>512</v>
      </c>
      <c r="P52" s="16"/>
      <c r="Q52" s="16"/>
      <c r="R52" s="16"/>
      <c r="S52" s="16"/>
      <c r="T52" s="16"/>
      <c r="U52" s="16"/>
      <c r="V52" s="16"/>
      <c r="W52" s="16"/>
      <c r="X52" s="16"/>
      <c r="Y52" s="16"/>
      <c r="Z52" s="16"/>
      <c r="AA52" s="16"/>
      <c r="AB52" s="16"/>
      <c r="AC52" s="16"/>
      <c r="AD52" s="16"/>
      <c r="AE52" s="138" t="s">
        <v>839</v>
      </c>
    </row>
    <row r="53" spans="1:31" ht="12.45" customHeight="1" x14ac:dyDescent="0.3">
      <c r="A53" s="4" t="s">
        <v>396</v>
      </c>
      <c r="B53" s="16">
        <v>32</v>
      </c>
      <c r="C53" s="16">
        <v>32</v>
      </c>
      <c r="D53" s="16">
        <v>32</v>
      </c>
      <c r="E53" s="16">
        <v>32</v>
      </c>
      <c r="F53" s="16">
        <v>32</v>
      </c>
      <c r="G53" s="16">
        <v>32</v>
      </c>
      <c r="H53" s="16">
        <v>32</v>
      </c>
      <c r="I53" s="16">
        <v>32</v>
      </c>
      <c r="J53" s="16">
        <v>32</v>
      </c>
      <c r="K53" s="16">
        <v>32</v>
      </c>
      <c r="L53" s="16">
        <v>32</v>
      </c>
      <c r="M53" s="16">
        <v>32</v>
      </c>
      <c r="N53" s="16">
        <v>32</v>
      </c>
      <c r="O53" s="16">
        <v>32</v>
      </c>
      <c r="P53" s="16"/>
      <c r="Q53" s="16"/>
      <c r="R53" s="16"/>
      <c r="S53" s="16"/>
      <c r="T53" s="16"/>
      <c r="U53" s="16"/>
      <c r="V53" s="16"/>
      <c r="W53" s="16"/>
      <c r="X53" s="16"/>
      <c r="Y53" s="16"/>
      <c r="Z53" s="16"/>
      <c r="AA53" s="16"/>
      <c r="AB53" s="16"/>
      <c r="AC53" s="16"/>
      <c r="AD53" s="16"/>
      <c r="AE53" s="138" t="s">
        <v>840</v>
      </c>
    </row>
    <row r="54" spans="1:31" ht="12.45" customHeight="1" x14ac:dyDescent="0.3">
      <c r="A54" s="4" t="s">
        <v>397</v>
      </c>
      <c r="B54" s="16">
        <v>256</v>
      </c>
      <c r="C54" s="16">
        <v>256</v>
      </c>
      <c r="D54" s="16">
        <v>256</v>
      </c>
      <c r="E54" s="16">
        <v>256</v>
      </c>
      <c r="F54" s="16">
        <v>256</v>
      </c>
      <c r="G54" s="16">
        <v>256</v>
      </c>
      <c r="H54" s="16">
        <v>256</v>
      </c>
      <c r="I54" s="16">
        <v>256</v>
      </c>
      <c r="J54" s="16">
        <v>256</v>
      </c>
      <c r="K54" s="16">
        <v>256</v>
      </c>
      <c r="L54" s="16">
        <v>256</v>
      </c>
      <c r="M54" s="16">
        <v>256</v>
      </c>
      <c r="N54" s="16">
        <v>256</v>
      </c>
      <c r="O54" s="16">
        <v>256</v>
      </c>
      <c r="P54" s="16"/>
      <c r="Q54" s="16"/>
      <c r="R54" s="16"/>
      <c r="S54" s="16"/>
      <c r="T54" s="16"/>
      <c r="U54" s="16"/>
      <c r="V54" s="16"/>
      <c r="W54" s="16"/>
      <c r="X54" s="16"/>
      <c r="Y54" s="16"/>
      <c r="Z54" s="16"/>
      <c r="AA54" s="16"/>
      <c r="AB54" s="16"/>
      <c r="AC54" s="16"/>
      <c r="AD54" s="16"/>
      <c r="AE54" s="138" t="s">
        <v>841</v>
      </c>
    </row>
    <row r="55" spans="1:31" ht="12.45" customHeight="1" x14ac:dyDescent="0.3">
      <c r="A55" s="4" t="s">
        <v>398</v>
      </c>
      <c r="B55" s="16">
        <v>0</v>
      </c>
      <c r="C55" s="16">
        <v>0</v>
      </c>
      <c r="D55" s="16">
        <v>0</v>
      </c>
      <c r="E55" s="16">
        <v>256</v>
      </c>
      <c r="F55" s="16">
        <v>256</v>
      </c>
      <c r="G55" s="16">
        <v>0</v>
      </c>
      <c r="H55" s="16">
        <v>0</v>
      </c>
      <c r="I55" s="16">
        <v>0</v>
      </c>
      <c r="J55" s="16">
        <v>256</v>
      </c>
      <c r="K55" s="16">
        <v>256</v>
      </c>
      <c r="L55" s="16">
        <v>256</v>
      </c>
      <c r="M55" s="16">
        <v>0</v>
      </c>
      <c r="N55" s="16">
        <v>256</v>
      </c>
      <c r="O55" s="16">
        <v>0</v>
      </c>
      <c r="P55" s="16"/>
      <c r="Q55" s="16"/>
      <c r="R55" s="16"/>
      <c r="S55" s="16"/>
      <c r="T55" s="16"/>
      <c r="U55" s="16"/>
      <c r="V55" s="16"/>
      <c r="W55" s="16"/>
      <c r="X55" s="16"/>
      <c r="Y55" s="16"/>
      <c r="Z55" s="16"/>
      <c r="AA55" s="16"/>
      <c r="AB55" s="16"/>
      <c r="AC55" s="16"/>
      <c r="AD55" s="16"/>
      <c r="AE55" s="138" t="s">
        <v>842</v>
      </c>
    </row>
    <row r="56" spans="1:31" ht="12.45" customHeight="1" x14ac:dyDescent="0.3">
      <c r="A56" s="4" t="s">
        <v>422</v>
      </c>
      <c r="B56" s="16">
        <v>0</v>
      </c>
      <c r="C56" s="16">
        <v>0</v>
      </c>
      <c r="D56" s="16">
        <v>0</v>
      </c>
      <c r="E56" s="16">
        <v>0</v>
      </c>
      <c r="F56" s="16">
        <v>0</v>
      </c>
      <c r="G56" s="16">
        <v>1</v>
      </c>
      <c r="H56" s="16">
        <v>1</v>
      </c>
      <c r="I56" s="16">
        <v>1</v>
      </c>
      <c r="J56" s="16">
        <v>1</v>
      </c>
      <c r="K56" s="16">
        <v>1</v>
      </c>
      <c r="L56" s="16">
        <v>1</v>
      </c>
      <c r="M56" s="16">
        <v>1</v>
      </c>
      <c r="N56" s="16">
        <v>1</v>
      </c>
      <c r="O56" s="16">
        <v>1</v>
      </c>
      <c r="P56" s="16"/>
      <c r="Q56" s="16"/>
      <c r="R56" s="16"/>
      <c r="S56" s="16"/>
      <c r="T56" s="16"/>
      <c r="U56" s="16"/>
      <c r="V56" s="16"/>
      <c r="W56" s="16"/>
      <c r="X56" s="16"/>
      <c r="Y56" s="16"/>
      <c r="Z56" s="16"/>
      <c r="AA56" s="16"/>
      <c r="AB56" s="16"/>
      <c r="AC56" s="16"/>
      <c r="AD56" s="16"/>
      <c r="AE56" s="138" t="s">
        <v>834</v>
      </c>
    </row>
    <row r="57" spans="1:31" ht="12.45" customHeight="1" x14ac:dyDescent="0.3">
      <c r="A57" s="18" t="s">
        <v>418</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row>
    <row r="58" spans="1:31" ht="12.45" customHeight="1" x14ac:dyDescent="0.3">
      <c r="A58" s="41" t="s">
        <v>16</v>
      </c>
      <c r="B58" s="16">
        <v>768</v>
      </c>
      <c r="C58" s="16">
        <v>768</v>
      </c>
      <c r="D58" s="16">
        <v>768</v>
      </c>
      <c r="E58" s="16">
        <v>768</v>
      </c>
      <c r="F58" s="16">
        <v>768</v>
      </c>
      <c r="G58" s="16">
        <v>768</v>
      </c>
      <c r="H58" s="16">
        <v>768</v>
      </c>
      <c r="I58" s="16">
        <v>768</v>
      </c>
      <c r="J58" s="16">
        <v>768</v>
      </c>
      <c r="K58" s="16">
        <v>768</v>
      </c>
      <c r="L58" s="16">
        <v>768</v>
      </c>
      <c r="M58" s="16">
        <v>768</v>
      </c>
      <c r="N58" s="16">
        <v>768</v>
      </c>
      <c r="O58" s="16">
        <v>768</v>
      </c>
      <c r="P58" s="16"/>
      <c r="Q58" s="16"/>
      <c r="R58" s="16"/>
      <c r="S58" s="16"/>
      <c r="T58" s="16"/>
      <c r="U58" s="16"/>
      <c r="V58" s="16"/>
      <c r="W58" s="16"/>
      <c r="X58" s="16"/>
      <c r="Y58" s="16"/>
      <c r="Z58" s="16"/>
      <c r="AA58" s="16"/>
      <c r="AB58" s="16"/>
      <c r="AC58" s="16"/>
      <c r="AD58" s="16"/>
      <c r="AE58" s="138" t="s">
        <v>835</v>
      </c>
    </row>
    <row r="59" spans="1:31" ht="12.45" customHeight="1" x14ac:dyDescent="0.3">
      <c r="A59" s="41" t="s">
        <v>399</v>
      </c>
      <c r="B59" s="16">
        <v>32</v>
      </c>
      <c r="C59" s="16">
        <v>32</v>
      </c>
      <c r="D59" s="16">
        <v>32</v>
      </c>
      <c r="E59" s="16">
        <v>160</v>
      </c>
      <c r="F59" s="16">
        <v>160</v>
      </c>
      <c r="G59" s="16">
        <v>192</v>
      </c>
      <c r="H59" s="16">
        <v>160</v>
      </c>
      <c r="I59" s="16">
        <v>160</v>
      </c>
      <c r="J59" s="16">
        <v>160</v>
      </c>
      <c r="K59" s="16">
        <v>160</v>
      </c>
      <c r="L59" s="16">
        <v>160</v>
      </c>
      <c r="M59" s="16">
        <v>192</v>
      </c>
      <c r="N59" s="16">
        <v>160</v>
      </c>
      <c r="O59" s="16">
        <v>192</v>
      </c>
      <c r="P59" s="16"/>
      <c r="Q59" s="16"/>
      <c r="R59" s="16"/>
      <c r="S59" s="16"/>
      <c r="T59" s="16"/>
      <c r="U59" s="16"/>
      <c r="V59" s="16"/>
      <c r="W59" s="16"/>
      <c r="X59" s="16"/>
      <c r="Y59" s="16"/>
      <c r="Z59" s="16"/>
      <c r="AA59" s="16"/>
      <c r="AB59" s="16"/>
      <c r="AC59" s="16"/>
      <c r="AD59" s="16"/>
      <c r="AE59" s="16" t="s">
        <v>836</v>
      </c>
    </row>
    <row r="60" spans="1:31" ht="12.45" customHeight="1" x14ac:dyDescent="0.3">
      <c r="A60" s="41" t="s">
        <v>21</v>
      </c>
      <c r="B60" s="16">
        <v>0</v>
      </c>
      <c r="C60" s="16">
        <v>0</v>
      </c>
      <c r="D60" s="16">
        <v>0</v>
      </c>
      <c r="E60" s="16">
        <v>0</v>
      </c>
      <c r="F60" s="16">
        <v>0</v>
      </c>
      <c r="G60" s="16">
        <v>0</v>
      </c>
      <c r="H60" s="16">
        <v>6400</v>
      </c>
      <c r="I60" s="16">
        <v>0</v>
      </c>
      <c r="J60" s="16">
        <v>0</v>
      </c>
      <c r="K60" s="16">
        <v>0</v>
      </c>
      <c r="L60" s="16">
        <v>0</v>
      </c>
      <c r="M60" s="16">
        <v>0</v>
      </c>
      <c r="N60" s="16">
        <v>0</v>
      </c>
      <c r="O60" s="16">
        <v>0</v>
      </c>
      <c r="P60" s="16"/>
      <c r="Q60" s="16"/>
      <c r="R60" s="16"/>
      <c r="S60" s="16"/>
      <c r="T60" s="16"/>
      <c r="U60" s="16"/>
      <c r="V60" s="16"/>
      <c r="W60" s="16"/>
      <c r="X60" s="16"/>
      <c r="Y60" s="16"/>
      <c r="Z60" s="16"/>
      <c r="AA60" s="16"/>
      <c r="AB60" s="16"/>
      <c r="AC60" s="16"/>
      <c r="AD60" s="16"/>
      <c r="AE60" s="16" t="s">
        <v>837</v>
      </c>
    </row>
    <row r="61" spans="1:31" ht="12.45" customHeight="1" x14ac:dyDescent="0.3">
      <c r="A61" s="41" t="s">
        <v>22</v>
      </c>
      <c r="B61" s="16">
        <v>32</v>
      </c>
      <c r="C61" s="16">
        <v>32</v>
      </c>
      <c r="D61" s="16">
        <v>32</v>
      </c>
      <c r="E61" s="16">
        <v>32</v>
      </c>
      <c r="F61" s="16">
        <v>32</v>
      </c>
      <c r="G61" s="16">
        <v>32</v>
      </c>
      <c r="H61" s="16">
        <v>32</v>
      </c>
      <c r="I61" s="16">
        <v>32</v>
      </c>
      <c r="J61" s="16">
        <v>32</v>
      </c>
      <c r="K61" s="16">
        <v>32</v>
      </c>
      <c r="L61" s="16">
        <v>32</v>
      </c>
      <c r="M61" s="16">
        <v>32</v>
      </c>
      <c r="N61" s="16">
        <v>32</v>
      </c>
      <c r="O61" s="16">
        <v>32</v>
      </c>
      <c r="P61" s="16"/>
      <c r="Q61" s="16"/>
      <c r="R61" s="16"/>
      <c r="S61" s="16"/>
      <c r="T61" s="16"/>
      <c r="U61" s="16"/>
      <c r="V61" s="16"/>
      <c r="W61" s="16"/>
      <c r="X61" s="16"/>
      <c r="Y61" s="16"/>
      <c r="Z61" s="16"/>
      <c r="AA61" s="16"/>
      <c r="AB61" s="16"/>
      <c r="AC61" s="16"/>
      <c r="AD61" s="16"/>
      <c r="AE61" s="16" t="s">
        <v>838</v>
      </c>
    </row>
    <row r="62" spans="1:31" ht="12.45" customHeight="1" x14ac:dyDescent="0.3">
      <c r="A62" s="41" t="s">
        <v>423</v>
      </c>
      <c r="B62" s="16">
        <v>0</v>
      </c>
      <c r="C62" s="16">
        <v>0</v>
      </c>
      <c r="D62" s="16">
        <v>0</v>
      </c>
      <c r="E62" s="16">
        <v>0</v>
      </c>
      <c r="F62" s="16">
        <v>0</v>
      </c>
      <c r="G62" s="16">
        <v>0</v>
      </c>
      <c r="H62" s="16">
        <v>0</v>
      </c>
      <c r="I62" s="16">
        <v>0</v>
      </c>
      <c r="J62" s="16">
        <v>0</v>
      </c>
      <c r="K62" s="16">
        <v>0</v>
      </c>
      <c r="L62" s="16">
        <v>0</v>
      </c>
      <c r="M62" s="16">
        <v>0</v>
      </c>
      <c r="N62" s="16">
        <v>0</v>
      </c>
      <c r="O62" s="16">
        <v>0</v>
      </c>
      <c r="P62" s="16"/>
      <c r="Q62" s="16"/>
      <c r="R62" s="16"/>
      <c r="S62" s="16"/>
      <c r="T62" s="16"/>
      <c r="U62" s="16"/>
      <c r="V62" s="16"/>
      <c r="W62" s="16"/>
      <c r="X62" s="16"/>
      <c r="Y62" s="16"/>
      <c r="Z62" s="16"/>
      <c r="AA62" s="16"/>
      <c r="AB62" s="16"/>
      <c r="AC62" s="16"/>
      <c r="AD62" s="16"/>
      <c r="AE62" s="138" t="s">
        <v>833</v>
      </c>
    </row>
    <row r="63" spans="1:31" ht="12.45" customHeight="1" x14ac:dyDescent="0.3">
      <c r="A63" s="182" t="s">
        <v>884</v>
      </c>
      <c r="B63" s="16">
        <v>0</v>
      </c>
      <c r="C63" s="16">
        <v>0</v>
      </c>
      <c r="D63" s="16">
        <v>0</v>
      </c>
      <c r="E63" s="16">
        <v>320</v>
      </c>
      <c r="F63" s="16">
        <v>320</v>
      </c>
      <c r="G63" s="16">
        <v>0</v>
      </c>
      <c r="H63" s="16">
        <v>320</v>
      </c>
      <c r="I63" s="16">
        <v>320</v>
      </c>
      <c r="J63" s="16">
        <v>320</v>
      </c>
      <c r="K63" s="16">
        <v>320</v>
      </c>
      <c r="L63" s="16">
        <v>320</v>
      </c>
      <c r="M63" s="16">
        <v>0</v>
      </c>
      <c r="N63" s="16">
        <v>320</v>
      </c>
      <c r="O63" s="16">
        <v>0</v>
      </c>
      <c r="P63" s="16"/>
      <c r="Q63" s="16"/>
      <c r="R63" s="16"/>
      <c r="S63" s="16"/>
      <c r="T63" s="16"/>
      <c r="U63" s="16"/>
      <c r="V63" s="16"/>
      <c r="W63" s="16"/>
      <c r="X63" s="16"/>
      <c r="Y63" s="16"/>
      <c r="Z63" s="16"/>
      <c r="AA63" s="16"/>
      <c r="AB63" s="16"/>
      <c r="AC63" s="16"/>
      <c r="AD63" s="16"/>
      <c r="AE63" s="138" t="s">
        <v>883</v>
      </c>
    </row>
    <row r="64" spans="1:31" ht="12.45" customHeight="1" x14ac:dyDescent="0.3">
      <c r="A64" s="18" t="s">
        <v>1522</v>
      </c>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c r="AE64" s="18"/>
    </row>
    <row r="65" spans="1:31" ht="15" customHeight="1" x14ac:dyDescent="0.3">
      <c r="A65" s="63" t="s">
        <v>1532</v>
      </c>
      <c r="B65" s="409"/>
      <c r="C65" s="409"/>
      <c r="D65" s="409"/>
      <c r="E65" s="409"/>
      <c r="F65" s="409"/>
      <c r="G65" s="409"/>
      <c r="H65" s="63">
        <v>4</v>
      </c>
      <c r="I65" s="63">
        <v>3</v>
      </c>
      <c r="J65" s="63">
        <v>4</v>
      </c>
      <c r="K65" s="63">
        <v>3</v>
      </c>
      <c r="L65" s="63">
        <v>4</v>
      </c>
      <c r="M65" s="16">
        <v>0</v>
      </c>
      <c r="N65" s="16">
        <v>1</v>
      </c>
      <c r="O65" s="16">
        <v>0</v>
      </c>
      <c r="P65" s="16"/>
      <c r="Q65" s="16"/>
      <c r="R65" s="16"/>
      <c r="S65" s="16"/>
      <c r="T65" s="16"/>
      <c r="U65" s="16"/>
      <c r="V65" s="16"/>
      <c r="W65" s="16"/>
      <c r="X65" s="16"/>
      <c r="Y65" s="16"/>
      <c r="Z65" s="16"/>
      <c r="AA65" s="16"/>
      <c r="AB65" s="16"/>
      <c r="AC65" s="16"/>
      <c r="AD65" s="16"/>
      <c r="AE65" s="138" t="s">
        <v>1525</v>
      </c>
    </row>
    <row r="66" spans="1:31" ht="15" customHeight="1" x14ac:dyDescent="0.3">
      <c r="A66" s="63" t="s">
        <v>1524</v>
      </c>
      <c r="B66" s="409"/>
      <c r="C66" s="409"/>
      <c r="D66" s="409"/>
      <c r="E66" s="409"/>
      <c r="F66" s="409"/>
      <c r="G66" s="409"/>
      <c r="H66" s="63" t="s">
        <v>1520</v>
      </c>
      <c r="I66" s="63" t="s">
        <v>1521</v>
      </c>
      <c r="J66" s="63" t="s">
        <v>1520</v>
      </c>
      <c r="K66" s="63" t="s">
        <v>1521</v>
      </c>
      <c r="L66" s="63" t="s">
        <v>1520</v>
      </c>
      <c r="M66" s="16" t="s">
        <v>1178</v>
      </c>
      <c r="N66" s="16" t="s">
        <v>1566</v>
      </c>
      <c r="O66" s="16" t="s">
        <v>1178</v>
      </c>
      <c r="P66" s="16"/>
      <c r="Q66" s="16"/>
      <c r="R66" s="16"/>
      <c r="S66" s="16"/>
      <c r="T66" s="16"/>
      <c r="U66" s="16"/>
      <c r="V66" s="16"/>
      <c r="W66" s="16"/>
      <c r="X66" s="16"/>
      <c r="Y66" s="16"/>
      <c r="Z66" s="16"/>
      <c r="AA66" s="16"/>
      <c r="AB66" s="16"/>
      <c r="AC66" s="16"/>
      <c r="AD66" s="16"/>
      <c r="AE66" s="138" t="s">
        <v>1526</v>
      </c>
    </row>
    <row r="69" spans="1:31" ht="15.6" x14ac:dyDescent="0.3">
      <c r="A69" s="255" t="s">
        <v>1179</v>
      </c>
    </row>
    <row r="70" spans="1:31" ht="13.5" customHeight="1" x14ac:dyDescent="0.3">
      <c r="A70" s="239" t="s">
        <v>70</v>
      </c>
      <c r="B70" s="16">
        <v>1</v>
      </c>
      <c r="C70" s="16">
        <v>1</v>
      </c>
      <c r="D70" s="16">
        <v>1</v>
      </c>
      <c r="E70" s="16">
        <v>0</v>
      </c>
      <c r="F70" s="16">
        <v>1</v>
      </c>
      <c r="G70" s="16">
        <v>0</v>
      </c>
      <c r="H70" s="16">
        <v>0</v>
      </c>
      <c r="I70" s="16">
        <v>1</v>
      </c>
      <c r="J70" s="16">
        <v>0</v>
      </c>
      <c r="K70" s="16">
        <v>1</v>
      </c>
      <c r="L70" s="16">
        <v>1</v>
      </c>
      <c r="M70" s="16">
        <v>0</v>
      </c>
      <c r="N70" s="63">
        <v>0</v>
      </c>
      <c r="O70" s="16">
        <v>0</v>
      </c>
      <c r="P70" s="16"/>
      <c r="Q70" s="16"/>
      <c r="R70" s="16"/>
      <c r="S70" s="16"/>
      <c r="T70" s="16"/>
      <c r="U70" s="16"/>
      <c r="V70" s="16"/>
      <c r="W70" s="16"/>
      <c r="X70" s="16"/>
      <c r="Y70" s="16"/>
      <c r="Z70" s="16"/>
      <c r="AA70" s="16"/>
      <c r="AB70" s="16"/>
      <c r="AC70" s="16"/>
      <c r="AD70" s="16"/>
      <c r="AE70" s="138" t="s">
        <v>817</v>
      </c>
    </row>
    <row r="71" spans="1:31" ht="13.5" customHeight="1" x14ac:dyDescent="0.3">
      <c r="A71" s="256" t="s">
        <v>1180</v>
      </c>
      <c r="B71" s="63">
        <v>1</v>
      </c>
      <c r="C71" s="63">
        <v>1</v>
      </c>
      <c r="D71" s="63">
        <v>1</v>
      </c>
      <c r="E71" s="63">
        <v>0</v>
      </c>
      <c r="F71" s="63">
        <v>1</v>
      </c>
      <c r="G71" s="63">
        <v>0</v>
      </c>
      <c r="H71" s="63">
        <v>0</v>
      </c>
      <c r="I71" s="63">
        <v>1</v>
      </c>
      <c r="J71" s="63">
        <v>0</v>
      </c>
      <c r="K71" s="63">
        <v>1</v>
      </c>
      <c r="L71" s="63">
        <v>1</v>
      </c>
      <c r="M71" s="63">
        <v>0</v>
      </c>
      <c r="N71" s="63">
        <v>0</v>
      </c>
      <c r="O71" s="16">
        <v>0</v>
      </c>
      <c r="P71" s="16"/>
      <c r="Q71" s="16"/>
      <c r="R71" s="16"/>
      <c r="S71" s="16"/>
      <c r="T71" s="16"/>
      <c r="U71" s="16"/>
      <c r="V71" s="16"/>
      <c r="W71" s="16"/>
      <c r="X71" s="16"/>
      <c r="Y71" s="16"/>
      <c r="Z71" s="16"/>
      <c r="AA71" s="16"/>
      <c r="AB71" s="16"/>
      <c r="AC71" s="16"/>
      <c r="AD71" s="16"/>
      <c r="AE71" s="138" t="s">
        <v>1181</v>
      </c>
    </row>
    <row r="72" spans="1:31" ht="13.5" customHeight="1" x14ac:dyDescent="0.3">
      <c r="A72" s="40" t="s">
        <v>224</v>
      </c>
      <c r="B72" s="16">
        <v>1</v>
      </c>
      <c r="C72" s="16">
        <v>1</v>
      </c>
      <c r="D72" s="16">
        <v>1</v>
      </c>
      <c r="E72" s="16">
        <v>1</v>
      </c>
      <c r="F72" s="16">
        <v>0</v>
      </c>
      <c r="G72" s="16">
        <v>0</v>
      </c>
      <c r="H72" s="16">
        <v>1</v>
      </c>
      <c r="I72" s="16">
        <v>0</v>
      </c>
      <c r="J72" s="16">
        <v>0</v>
      </c>
      <c r="K72" s="16">
        <v>0</v>
      </c>
      <c r="L72" s="16">
        <v>0</v>
      </c>
      <c r="M72" s="16">
        <v>0</v>
      </c>
      <c r="N72" s="16">
        <v>0</v>
      </c>
      <c r="O72" s="16">
        <v>0</v>
      </c>
      <c r="P72" s="16"/>
      <c r="Q72" s="16"/>
      <c r="R72" s="16"/>
      <c r="S72" s="16"/>
      <c r="T72" s="16"/>
      <c r="U72" s="16"/>
      <c r="V72" s="16"/>
      <c r="W72" s="16"/>
      <c r="X72" s="16"/>
      <c r="Y72" s="16"/>
      <c r="Z72" s="16"/>
      <c r="AA72" s="16"/>
      <c r="AB72" s="16"/>
      <c r="AC72" s="16"/>
      <c r="AD72" s="16"/>
      <c r="AE72" s="138" t="s">
        <v>818</v>
      </c>
    </row>
    <row r="73" spans="1:31" ht="13.5" customHeight="1" x14ac:dyDescent="0.3">
      <c r="A73" s="40" t="s">
        <v>394</v>
      </c>
      <c r="B73" s="16">
        <v>13</v>
      </c>
      <c r="C73" s="16">
        <v>15</v>
      </c>
      <c r="D73" s="16">
        <v>15</v>
      </c>
      <c r="E73" s="16">
        <v>13</v>
      </c>
      <c r="F73" s="57">
        <v>4</v>
      </c>
      <c r="G73" s="16">
        <v>5</v>
      </c>
      <c r="H73" s="16">
        <v>15</v>
      </c>
      <c r="I73" s="16">
        <v>5</v>
      </c>
      <c r="J73" s="16">
        <v>7</v>
      </c>
      <c r="K73" s="16">
        <v>5</v>
      </c>
      <c r="L73" s="16">
        <v>7</v>
      </c>
      <c r="M73" s="16">
        <v>5</v>
      </c>
      <c r="N73" s="16">
        <v>12</v>
      </c>
      <c r="O73" s="16">
        <v>5</v>
      </c>
      <c r="P73" s="16"/>
      <c r="Q73" s="16"/>
      <c r="R73" s="16"/>
      <c r="S73" s="16"/>
      <c r="T73" s="16"/>
      <c r="U73" s="16"/>
      <c r="V73" s="16"/>
      <c r="W73" s="16"/>
      <c r="X73" s="16"/>
      <c r="Y73" s="16"/>
      <c r="Z73" s="16"/>
      <c r="AA73" s="16"/>
      <c r="AB73" s="16"/>
      <c r="AC73" s="16"/>
      <c r="AD73" s="16"/>
      <c r="AE73" s="138" t="s">
        <v>819</v>
      </c>
    </row>
    <row r="74" spans="1:31" ht="13.5" customHeight="1" x14ac:dyDescent="0.3">
      <c r="A74" s="42" t="s">
        <v>241</v>
      </c>
      <c r="B74" s="16">
        <v>0</v>
      </c>
      <c r="C74" s="16">
        <v>1</v>
      </c>
      <c r="D74" s="16">
        <v>1</v>
      </c>
      <c r="E74" s="16">
        <v>0</v>
      </c>
      <c r="F74" s="16">
        <v>0</v>
      </c>
      <c r="G74" s="16">
        <v>0</v>
      </c>
      <c r="H74" s="57">
        <v>1</v>
      </c>
      <c r="I74" s="16">
        <v>0</v>
      </c>
      <c r="J74" s="63">
        <v>1</v>
      </c>
      <c r="K74" s="63">
        <v>0</v>
      </c>
      <c r="L74" s="63">
        <v>1</v>
      </c>
      <c r="M74" s="16">
        <v>0</v>
      </c>
      <c r="N74" s="16">
        <v>0</v>
      </c>
      <c r="O74" s="16">
        <v>0</v>
      </c>
      <c r="P74" s="16"/>
      <c r="Q74" s="16"/>
      <c r="R74" s="16"/>
      <c r="S74" s="16"/>
      <c r="T74" s="16"/>
      <c r="U74" s="16"/>
      <c r="V74" s="16"/>
      <c r="W74" s="16"/>
      <c r="X74" s="16"/>
      <c r="Y74" s="16"/>
      <c r="Z74" s="16"/>
      <c r="AA74" s="16"/>
      <c r="AB74" s="16"/>
      <c r="AC74" s="16"/>
      <c r="AD74" s="16"/>
      <c r="AE74" s="16" t="s">
        <v>849</v>
      </c>
    </row>
    <row r="75" spans="1:31" ht="13.5" customHeight="1" x14ac:dyDescent="0.3">
      <c r="A75" s="239" t="s">
        <v>1151</v>
      </c>
      <c r="B75" s="16">
        <v>0</v>
      </c>
      <c r="C75" s="16">
        <v>0</v>
      </c>
      <c r="D75" s="16">
        <v>0</v>
      </c>
      <c r="E75" s="16">
        <v>1</v>
      </c>
      <c r="F75" s="16">
        <v>0</v>
      </c>
      <c r="G75" s="16">
        <v>0</v>
      </c>
      <c r="H75" s="16">
        <v>1</v>
      </c>
      <c r="I75" s="57">
        <v>0</v>
      </c>
      <c r="J75" s="57">
        <v>0</v>
      </c>
      <c r="K75" s="57">
        <v>0</v>
      </c>
      <c r="L75" s="57">
        <v>0</v>
      </c>
      <c r="M75" s="16">
        <v>0</v>
      </c>
      <c r="N75" s="16">
        <v>0</v>
      </c>
      <c r="O75" s="16">
        <v>0</v>
      </c>
      <c r="P75" s="16"/>
      <c r="Q75" s="16"/>
      <c r="R75" s="16"/>
      <c r="S75" s="16"/>
      <c r="T75" s="16"/>
      <c r="U75" s="16"/>
      <c r="V75" s="16"/>
      <c r="W75" s="16"/>
      <c r="X75" s="16"/>
      <c r="Y75" s="16"/>
      <c r="Z75" s="16"/>
      <c r="AA75" s="16"/>
      <c r="AB75" s="16"/>
      <c r="AC75" s="16"/>
      <c r="AD75" s="16"/>
      <c r="AE75" s="138" t="s">
        <v>1152</v>
      </c>
    </row>
    <row r="76" spans="1:31" ht="13.5" customHeight="1" x14ac:dyDescent="0.3">
      <c r="A76" s="125" t="s">
        <v>536</v>
      </c>
      <c r="B76" s="16">
        <v>0</v>
      </c>
      <c r="C76" s="16">
        <v>0</v>
      </c>
      <c r="D76" s="16">
        <v>0</v>
      </c>
      <c r="E76" s="16">
        <v>0</v>
      </c>
      <c r="F76" s="16">
        <v>0</v>
      </c>
      <c r="G76" s="16">
        <v>1</v>
      </c>
      <c r="H76" s="16">
        <v>0</v>
      </c>
      <c r="I76" s="16">
        <v>0</v>
      </c>
      <c r="J76" s="16">
        <v>0</v>
      </c>
      <c r="K76" s="16">
        <v>0</v>
      </c>
      <c r="L76" s="16">
        <v>0</v>
      </c>
      <c r="M76" s="16">
        <v>1</v>
      </c>
      <c r="N76" s="16">
        <v>0</v>
      </c>
      <c r="O76" s="16">
        <v>1</v>
      </c>
      <c r="P76" s="16"/>
      <c r="Q76" s="16"/>
      <c r="R76" s="16"/>
      <c r="S76" s="16"/>
      <c r="T76" s="16"/>
      <c r="U76" s="16"/>
      <c r="V76" s="16"/>
      <c r="W76" s="16"/>
      <c r="X76" s="16"/>
      <c r="Y76" s="16"/>
      <c r="Z76" s="16"/>
      <c r="AA76" s="16"/>
      <c r="AB76" s="16"/>
      <c r="AC76" s="16"/>
      <c r="AD76" s="16"/>
      <c r="AE76" s="138" t="s">
        <v>820</v>
      </c>
    </row>
    <row r="77" spans="1:31" ht="13.5" customHeight="1" x14ac:dyDescent="0.3">
      <c r="A77" s="239" t="s">
        <v>827</v>
      </c>
      <c r="B77" s="16">
        <v>0</v>
      </c>
      <c r="C77" s="16">
        <v>0</v>
      </c>
      <c r="D77" s="16">
        <v>0</v>
      </c>
      <c r="E77" s="16">
        <v>0</v>
      </c>
      <c r="F77" s="16">
        <v>0</v>
      </c>
      <c r="G77" s="16">
        <v>0</v>
      </c>
      <c r="H77" s="16">
        <v>0</v>
      </c>
      <c r="I77" s="16">
        <v>0</v>
      </c>
      <c r="J77" s="16">
        <v>0</v>
      </c>
      <c r="K77" s="16">
        <v>0</v>
      </c>
      <c r="L77" s="16">
        <v>0</v>
      </c>
      <c r="M77" s="16">
        <v>0</v>
      </c>
      <c r="N77" s="63">
        <v>0</v>
      </c>
      <c r="O77" s="63">
        <v>0</v>
      </c>
      <c r="P77" s="16"/>
      <c r="Q77" s="16"/>
      <c r="R77" s="16"/>
      <c r="S77" s="16"/>
      <c r="T77" s="16"/>
      <c r="U77" s="16"/>
      <c r="V77" s="16"/>
      <c r="W77" s="16"/>
      <c r="X77" s="16"/>
      <c r="Y77" s="16"/>
      <c r="Z77" s="16"/>
      <c r="AA77" s="16"/>
      <c r="AB77" s="16"/>
      <c r="AC77" s="16"/>
      <c r="AD77" s="16"/>
      <c r="AE77" s="138" t="s">
        <v>826</v>
      </c>
    </row>
    <row r="78" spans="1:31" ht="13.5" customHeight="1" x14ac:dyDescent="0.3">
      <c r="A78" s="125" t="s">
        <v>214</v>
      </c>
      <c r="B78" s="16">
        <v>0</v>
      </c>
      <c r="C78" s="16">
        <v>0</v>
      </c>
      <c r="D78" s="16">
        <v>0</v>
      </c>
      <c r="E78" s="16">
        <v>0</v>
      </c>
      <c r="F78" s="16">
        <v>0</v>
      </c>
      <c r="G78" s="16">
        <v>0</v>
      </c>
      <c r="H78" s="16">
        <v>0</v>
      </c>
      <c r="I78" s="16">
        <v>0</v>
      </c>
      <c r="J78" s="16">
        <v>0</v>
      </c>
      <c r="K78" s="16">
        <v>0</v>
      </c>
      <c r="L78" s="16">
        <v>0</v>
      </c>
      <c r="M78" s="16">
        <v>0</v>
      </c>
      <c r="N78" s="16">
        <v>0</v>
      </c>
      <c r="O78" s="16">
        <v>0</v>
      </c>
      <c r="P78" s="16"/>
      <c r="Q78" s="16"/>
      <c r="R78" s="16"/>
      <c r="S78" s="16"/>
      <c r="T78" s="16"/>
      <c r="U78" s="16"/>
      <c r="V78" s="16"/>
      <c r="W78" s="16"/>
      <c r="X78" s="16"/>
      <c r="Y78" s="16"/>
      <c r="Z78" s="16"/>
      <c r="AA78" s="16"/>
      <c r="AB78" s="16"/>
      <c r="AC78" s="16"/>
      <c r="AD78" s="16"/>
      <c r="AE78" s="138" t="s">
        <v>821</v>
      </c>
    </row>
    <row r="79" spans="1:31" ht="13.5" customHeight="1" x14ac:dyDescent="0.3">
      <c r="A79" s="419" t="s">
        <v>1527</v>
      </c>
      <c r="B79" s="420">
        <v>0</v>
      </c>
      <c r="C79" s="420">
        <v>0</v>
      </c>
      <c r="D79" s="420">
        <v>0</v>
      </c>
      <c r="E79" s="420">
        <v>0</v>
      </c>
      <c r="F79" s="420">
        <v>0</v>
      </c>
      <c r="G79" s="420">
        <v>0</v>
      </c>
      <c r="H79" s="7">
        <v>0</v>
      </c>
      <c r="I79" s="7">
        <v>0</v>
      </c>
      <c r="J79" s="7">
        <v>0</v>
      </c>
      <c r="K79" s="7">
        <v>0</v>
      </c>
      <c r="L79" s="7">
        <v>0</v>
      </c>
      <c r="M79" s="7">
        <v>0</v>
      </c>
      <c r="N79" s="413">
        <v>0</v>
      </c>
      <c r="O79" s="413">
        <v>0</v>
      </c>
      <c r="P79" s="16"/>
      <c r="Q79" s="16"/>
      <c r="R79" s="16"/>
      <c r="S79" s="16"/>
      <c r="T79" s="16"/>
      <c r="U79" s="16"/>
      <c r="V79" s="16"/>
      <c r="W79" s="16"/>
      <c r="X79" s="16"/>
      <c r="Y79" s="16"/>
      <c r="Z79" s="16"/>
      <c r="AA79" s="16"/>
      <c r="AB79" s="16"/>
      <c r="AC79" s="16"/>
      <c r="AD79" s="16"/>
      <c r="AE79" s="138" t="s">
        <v>1528</v>
      </c>
    </row>
    <row r="80" spans="1:31" ht="13.5" customHeight="1" x14ac:dyDescent="0.3">
      <c r="A80" s="63" t="s">
        <v>1182</v>
      </c>
      <c r="B80" s="16">
        <v>1</v>
      </c>
      <c r="C80" s="16">
        <v>1</v>
      </c>
      <c r="D80" s="16">
        <v>1</v>
      </c>
      <c r="E80" s="16">
        <v>1</v>
      </c>
      <c r="F80" s="16">
        <v>1</v>
      </c>
      <c r="G80" s="16">
        <v>1</v>
      </c>
      <c r="H80" s="16">
        <v>0</v>
      </c>
      <c r="I80" s="16">
        <v>0</v>
      </c>
      <c r="J80" s="16">
        <v>0</v>
      </c>
      <c r="K80" s="16">
        <v>0</v>
      </c>
      <c r="L80" s="16">
        <v>0</v>
      </c>
      <c r="M80" s="16">
        <v>1</v>
      </c>
      <c r="N80" s="63">
        <v>0</v>
      </c>
      <c r="O80" s="63">
        <v>0</v>
      </c>
      <c r="P80" s="16"/>
      <c r="Q80" s="16"/>
      <c r="R80" s="16"/>
      <c r="S80" s="16"/>
      <c r="T80" s="16"/>
      <c r="U80" s="16"/>
      <c r="V80" s="16"/>
      <c r="W80" s="16"/>
      <c r="X80" s="16"/>
      <c r="Y80" s="16"/>
      <c r="Z80" s="16"/>
      <c r="AA80" s="16"/>
      <c r="AB80" s="16"/>
      <c r="AC80" s="16"/>
      <c r="AD80" s="16"/>
      <c r="AE80" s="16"/>
    </row>
    <row r="81" spans="1:31" ht="13.5" customHeight="1" x14ac:dyDescent="0.3">
      <c r="A81" s="40" t="s">
        <v>360</v>
      </c>
      <c r="B81" s="16">
        <v>0</v>
      </c>
      <c r="C81" s="16">
        <v>0</v>
      </c>
      <c r="D81" s="16">
        <v>0</v>
      </c>
      <c r="E81" s="16">
        <v>0</v>
      </c>
      <c r="F81" s="16">
        <v>0</v>
      </c>
      <c r="G81" s="16">
        <v>0</v>
      </c>
      <c r="H81" s="16">
        <v>0</v>
      </c>
      <c r="I81" s="16">
        <v>0</v>
      </c>
      <c r="J81" s="16">
        <v>0</v>
      </c>
      <c r="K81" s="16">
        <v>0</v>
      </c>
      <c r="L81" s="16">
        <v>0</v>
      </c>
      <c r="M81" s="16">
        <v>0</v>
      </c>
      <c r="N81" s="16">
        <v>0</v>
      </c>
      <c r="O81" s="16">
        <v>0</v>
      </c>
      <c r="P81" s="16"/>
      <c r="Q81" s="16"/>
      <c r="R81" s="16"/>
      <c r="S81" s="16"/>
      <c r="T81" s="16"/>
      <c r="U81" s="16"/>
      <c r="V81" s="16"/>
      <c r="W81" s="16"/>
      <c r="X81" s="16"/>
      <c r="Y81" s="16"/>
      <c r="Z81" s="16"/>
      <c r="AA81" s="16"/>
      <c r="AB81" s="16"/>
      <c r="AC81" s="16"/>
      <c r="AD81" s="16"/>
      <c r="AE81" s="138" t="s">
        <v>822</v>
      </c>
    </row>
    <row r="82" spans="1:31" ht="13.5" customHeight="1" x14ac:dyDescent="0.3">
      <c r="A82" s="63" t="s">
        <v>1183</v>
      </c>
      <c r="B82" s="16">
        <v>1</v>
      </c>
      <c r="C82" s="16">
        <v>0</v>
      </c>
      <c r="D82" s="16">
        <v>0</v>
      </c>
      <c r="E82" s="16">
        <v>1</v>
      </c>
      <c r="F82" s="16">
        <v>1</v>
      </c>
      <c r="G82" s="16">
        <v>1</v>
      </c>
      <c r="H82" s="16">
        <v>1</v>
      </c>
      <c r="I82" s="16">
        <v>1</v>
      </c>
      <c r="J82" s="16">
        <v>1</v>
      </c>
      <c r="K82" s="16">
        <v>1</v>
      </c>
      <c r="L82" s="16">
        <v>1</v>
      </c>
      <c r="M82" s="16">
        <v>1</v>
      </c>
      <c r="N82" s="63">
        <v>1</v>
      </c>
      <c r="O82" s="63">
        <v>1</v>
      </c>
      <c r="P82" s="16"/>
      <c r="Q82" s="16"/>
      <c r="R82" s="16"/>
      <c r="S82" s="16"/>
      <c r="T82" s="16"/>
      <c r="U82" s="16"/>
      <c r="V82" s="16"/>
      <c r="W82" s="16"/>
      <c r="X82" s="16"/>
      <c r="Y82" s="16"/>
      <c r="Z82" s="16"/>
      <c r="AA82" s="16"/>
      <c r="AB82" s="16"/>
      <c r="AC82" s="16"/>
      <c r="AD82" s="16"/>
      <c r="AE82" s="138" t="s">
        <v>815</v>
      </c>
    </row>
    <row r="83" spans="1:31" ht="13.5" customHeight="1" x14ac:dyDescent="0.3">
      <c r="A83" s="63" t="s">
        <v>1184</v>
      </c>
      <c r="B83" s="16">
        <v>0</v>
      </c>
      <c r="C83" s="16">
        <v>0</v>
      </c>
      <c r="D83" s="16">
        <v>0</v>
      </c>
      <c r="E83" s="16">
        <v>0</v>
      </c>
      <c r="F83" s="16">
        <v>0</v>
      </c>
      <c r="G83" s="16">
        <v>0</v>
      </c>
      <c r="H83" s="16">
        <v>0</v>
      </c>
      <c r="I83" s="16">
        <v>0</v>
      </c>
      <c r="J83" s="16">
        <v>0</v>
      </c>
      <c r="K83" s="16">
        <v>0</v>
      </c>
      <c r="L83" s="16">
        <v>0</v>
      </c>
      <c r="M83" s="16">
        <v>0</v>
      </c>
      <c r="N83" s="16">
        <v>0</v>
      </c>
      <c r="O83" s="16">
        <v>0</v>
      </c>
      <c r="P83" s="16"/>
      <c r="Q83" s="16"/>
      <c r="R83" s="16"/>
      <c r="S83" s="16"/>
      <c r="T83" s="16"/>
      <c r="U83" s="16"/>
      <c r="V83" s="16"/>
      <c r="W83" s="16"/>
      <c r="X83" s="16"/>
      <c r="Y83" s="16"/>
      <c r="Z83" s="16"/>
      <c r="AA83" s="16"/>
      <c r="AB83" s="16"/>
      <c r="AC83" s="16"/>
      <c r="AD83" s="16"/>
      <c r="AE83" s="138" t="s">
        <v>816</v>
      </c>
    </row>
    <row r="84" spans="1:31" ht="12.6" customHeight="1" x14ac:dyDescent="0.3">
      <c r="A84" s="40" t="s">
        <v>390</v>
      </c>
      <c r="B84" s="16">
        <v>0</v>
      </c>
      <c r="C84" s="16">
        <v>0</v>
      </c>
      <c r="D84" s="16">
        <v>0</v>
      </c>
      <c r="E84" s="16">
        <v>0</v>
      </c>
      <c r="F84" s="16">
        <v>0</v>
      </c>
      <c r="G84" s="16">
        <v>0</v>
      </c>
      <c r="H84" s="16">
        <v>0</v>
      </c>
      <c r="I84" s="16">
        <v>0</v>
      </c>
      <c r="J84" s="16">
        <v>0</v>
      </c>
      <c r="K84" s="16">
        <v>0</v>
      </c>
      <c r="L84" s="16">
        <v>0</v>
      </c>
      <c r="M84" s="16">
        <v>0</v>
      </c>
      <c r="N84" s="16">
        <v>0</v>
      </c>
      <c r="O84" s="16">
        <v>0</v>
      </c>
      <c r="P84" s="16"/>
      <c r="Q84" s="16"/>
      <c r="R84" s="16"/>
      <c r="S84" s="16"/>
      <c r="T84" s="16"/>
      <c r="U84" s="16"/>
      <c r="V84" s="16"/>
      <c r="W84" s="16"/>
      <c r="X84" s="16"/>
      <c r="Y84" s="16"/>
      <c r="Z84" s="16"/>
      <c r="AA84" s="16"/>
      <c r="AB84" s="16"/>
      <c r="AC84" s="16"/>
      <c r="AD84" s="16"/>
      <c r="AE84" s="138" t="s">
        <v>823</v>
      </c>
    </row>
    <row r="85" spans="1:31" ht="13.5" customHeight="1" x14ac:dyDescent="0.3">
      <c r="A85" s="40" t="s">
        <v>205</v>
      </c>
      <c r="B85" s="16">
        <v>0</v>
      </c>
      <c r="C85" s="16">
        <v>0</v>
      </c>
      <c r="D85" s="16">
        <v>0</v>
      </c>
      <c r="E85" s="16">
        <v>0</v>
      </c>
      <c r="F85" s="16">
        <v>0</v>
      </c>
      <c r="G85" s="16">
        <v>0</v>
      </c>
      <c r="H85" s="16">
        <v>0</v>
      </c>
      <c r="I85" s="16">
        <v>0</v>
      </c>
      <c r="J85" s="16">
        <v>0</v>
      </c>
      <c r="K85" s="16">
        <v>0</v>
      </c>
      <c r="L85" s="16">
        <v>0</v>
      </c>
      <c r="M85" s="16">
        <v>0</v>
      </c>
      <c r="N85" s="16">
        <v>0</v>
      </c>
      <c r="O85" s="16">
        <v>0</v>
      </c>
      <c r="P85" s="16"/>
      <c r="Q85" s="16"/>
      <c r="R85" s="16"/>
      <c r="S85" s="16"/>
      <c r="T85" s="16"/>
      <c r="U85" s="16"/>
      <c r="V85" s="16"/>
      <c r="W85" s="16"/>
      <c r="X85" s="16"/>
      <c r="Y85" s="16"/>
      <c r="Z85" s="16"/>
      <c r="AA85" s="16"/>
      <c r="AB85" s="16"/>
      <c r="AC85" s="16"/>
      <c r="AD85" s="16"/>
      <c r="AE85" s="138" t="s">
        <v>824</v>
      </c>
    </row>
    <row r="86" spans="1:31" ht="13.5" customHeight="1" x14ac:dyDescent="0.3">
      <c r="A86" s="40" t="s">
        <v>253</v>
      </c>
      <c r="B86" s="16">
        <v>1</v>
      </c>
      <c r="C86" s="16">
        <v>1</v>
      </c>
      <c r="D86" s="16">
        <v>1</v>
      </c>
      <c r="E86" s="16">
        <v>1</v>
      </c>
      <c r="F86" s="16">
        <v>1</v>
      </c>
      <c r="G86" s="16">
        <v>0</v>
      </c>
      <c r="H86" s="16">
        <v>1</v>
      </c>
      <c r="I86" s="16">
        <v>1</v>
      </c>
      <c r="J86" s="16">
        <v>1</v>
      </c>
      <c r="K86" s="16">
        <v>1</v>
      </c>
      <c r="L86" s="16">
        <v>1</v>
      </c>
      <c r="M86" s="16">
        <v>0</v>
      </c>
      <c r="N86" s="16">
        <v>0</v>
      </c>
      <c r="O86" s="16">
        <v>0</v>
      </c>
      <c r="P86" s="16"/>
      <c r="Q86" s="16"/>
      <c r="R86" s="16"/>
      <c r="S86" s="16"/>
      <c r="T86" s="16"/>
      <c r="U86" s="16"/>
      <c r="V86" s="16"/>
      <c r="W86" s="16"/>
      <c r="X86" s="16"/>
      <c r="Y86" s="16"/>
      <c r="Z86" s="16"/>
      <c r="AA86" s="16"/>
      <c r="AB86" s="16"/>
      <c r="AC86" s="16"/>
      <c r="AD86" s="16"/>
      <c r="AE86" s="138" t="s">
        <v>825</v>
      </c>
    </row>
    <row r="87" spans="1:31" x14ac:dyDescent="0.3">
      <c r="A87" s="421" t="s">
        <v>1567</v>
      </c>
      <c r="B87" s="413">
        <v>0</v>
      </c>
      <c r="C87" s="413">
        <v>0</v>
      </c>
      <c r="D87" s="413">
        <v>0</v>
      </c>
      <c r="E87" s="413">
        <v>0</v>
      </c>
      <c r="F87" s="413">
        <v>0</v>
      </c>
      <c r="G87" s="413">
        <v>1</v>
      </c>
      <c r="H87" s="413">
        <v>0</v>
      </c>
      <c r="I87" s="413">
        <v>0</v>
      </c>
      <c r="J87" s="413">
        <v>0</v>
      </c>
      <c r="K87" s="413">
        <v>0</v>
      </c>
      <c r="L87" s="413">
        <v>0</v>
      </c>
      <c r="M87" s="413">
        <v>1</v>
      </c>
      <c r="N87" s="413">
        <v>0</v>
      </c>
      <c r="O87" s="413">
        <v>1</v>
      </c>
    </row>
    <row r="88" spans="1:31" x14ac:dyDescent="0.3">
      <c r="A88" s="421" t="s">
        <v>1570</v>
      </c>
      <c r="B88" s="413">
        <v>0</v>
      </c>
      <c r="C88" s="413">
        <v>0</v>
      </c>
      <c r="D88" s="413">
        <v>0</v>
      </c>
      <c r="E88" s="413">
        <v>0</v>
      </c>
      <c r="F88" s="413">
        <v>0</v>
      </c>
      <c r="G88" s="413">
        <v>0</v>
      </c>
      <c r="H88" s="413">
        <v>0</v>
      </c>
      <c r="I88" s="413">
        <v>0</v>
      </c>
      <c r="J88" s="413">
        <v>0</v>
      </c>
      <c r="K88" s="413">
        <v>0</v>
      </c>
      <c r="L88" s="413">
        <v>0</v>
      </c>
      <c r="M88" s="413">
        <v>0</v>
      </c>
      <c r="N88" s="413">
        <v>1</v>
      </c>
      <c r="O88" s="413">
        <v>1</v>
      </c>
    </row>
    <row r="89" spans="1:31" x14ac:dyDescent="0.3">
      <c r="A89" s="15" t="s">
        <v>1571</v>
      </c>
      <c r="B89" s="16">
        <v>0</v>
      </c>
      <c r="C89" s="16">
        <v>1</v>
      </c>
      <c r="D89" s="16">
        <v>0</v>
      </c>
      <c r="E89" s="16">
        <v>0</v>
      </c>
      <c r="F89" s="16">
        <v>0</v>
      </c>
      <c r="G89" s="16">
        <v>0</v>
      </c>
      <c r="H89" s="16">
        <v>1</v>
      </c>
      <c r="I89" s="16">
        <v>0</v>
      </c>
      <c r="J89" s="16">
        <v>0</v>
      </c>
      <c r="K89" s="16">
        <v>0</v>
      </c>
      <c r="L89" s="16">
        <v>0</v>
      </c>
      <c r="M89" s="16">
        <v>0</v>
      </c>
      <c r="N89" s="16" t="e">
        <f>VLOOKUP(A89,Elasti_CSC_review_new!$G$2:$H$89,2,0)</f>
        <v>#N/A</v>
      </c>
      <c r="O89" s="16">
        <v>0</v>
      </c>
    </row>
  </sheetData>
  <mergeCells count="4">
    <mergeCell ref="C4:D4"/>
    <mergeCell ref="E4:G4"/>
    <mergeCell ref="H4:I4"/>
    <mergeCell ref="J4:M4"/>
  </mergeCells>
  <conditionalFormatting sqref="A52">
    <cfRule type="cellIs" dxfId="660" priority="9" operator="equal">
      <formula>0</formula>
    </cfRule>
  </conditionalFormatting>
  <conditionalFormatting sqref="A53">
    <cfRule type="cellIs" dxfId="659" priority="8" operator="equal">
      <formula>0</formula>
    </cfRule>
  </conditionalFormatting>
  <conditionalFormatting sqref="A54">
    <cfRule type="cellIs" dxfId="658" priority="7" operator="equal">
      <formula>0</formula>
    </cfRule>
  </conditionalFormatting>
  <conditionalFormatting sqref="A56">
    <cfRule type="cellIs" dxfId="657" priority="6" operator="equal">
      <formula>0</formula>
    </cfRule>
  </conditionalFormatting>
  <conditionalFormatting sqref="A58 A63">
    <cfRule type="cellIs" priority="5" operator="equal">
      <formula>0</formula>
    </cfRule>
  </conditionalFormatting>
  <conditionalFormatting sqref="A59">
    <cfRule type="cellIs" dxfId="656" priority="4" operator="equal">
      <formula>0</formula>
    </cfRule>
  </conditionalFormatting>
  <conditionalFormatting sqref="A60">
    <cfRule type="cellIs" dxfId="655" priority="2" operator="equal">
      <formula>0</formula>
    </cfRule>
    <cfRule type="cellIs" dxfId="654" priority="3" operator="equal">
      <formula>0</formula>
    </cfRule>
  </conditionalFormatting>
  <conditionalFormatting sqref="A55">
    <cfRule type="cellIs" dxfId="653"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C1:X232"/>
  <sheetViews>
    <sheetView topLeftCell="E119" zoomScaleNormal="100" workbookViewId="0">
      <selection activeCell="N134" sqref="N134"/>
    </sheetView>
  </sheetViews>
  <sheetFormatPr defaultColWidth="8.88671875" defaultRowHeight="14.4" x14ac:dyDescent="0.3"/>
  <cols>
    <col min="1" max="1" width="8.88671875" style="257"/>
    <col min="2" max="2" width="8.88671875" style="257" customWidth="1"/>
    <col min="3" max="3" width="29.33203125" style="257" customWidth="1"/>
    <col min="4" max="4" width="42.109375" style="257" customWidth="1"/>
    <col min="5" max="5" width="22" style="261" customWidth="1"/>
    <col min="6" max="6" width="48.88671875" style="257" customWidth="1"/>
    <col min="7" max="8" width="17.44140625" style="257" customWidth="1"/>
    <col min="9" max="9" width="9.88671875" style="257" customWidth="1"/>
    <col min="10" max="10" width="11.6640625" style="257" customWidth="1"/>
    <col min="11" max="11" width="15.33203125" style="257" customWidth="1"/>
    <col min="12" max="12" width="39.33203125" style="261" customWidth="1"/>
    <col min="13" max="13" width="34.44140625" style="260" customWidth="1"/>
    <col min="14" max="14" width="27.5546875" style="260" customWidth="1"/>
    <col min="15" max="15" width="27.109375" style="260" customWidth="1"/>
    <col min="16" max="16" width="16.21875" style="259" customWidth="1"/>
    <col min="17" max="17" width="13.77734375" style="257" customWidth="1"/>
    <col min="18" max="18" width="12.88671875" style="258" customWidth="1"/>
    <col min="19" max="19" width="13.21875" style="258" customWidth="1"/>
    <col min="20" max="20" width="14.6640625" style="258" customWidth="1"/>
    <col min="21" max="21" width="26.109375" style="257" customWidth="1"/>
    <col min="22" max="22" width="19.6640625" style="257" customWidth="1"/>
    <col min="23" max="23" width="16.6640625" style="257" customWidth="1"/>
    <col min="24" max="24" width="24.6640625" style="257" customWidth="1"/>
    <col min="25" max="16384" width="8.88671875" style="257"/>
  </cols>
  <sheetData>
    <row r="1" spans="3:23" ht="33.6" x14ac:dyDescent="0.3">
      <c r="C1" s="399" t="s">
        <v>1168</v>
      </c>
    </row>
    <row r="2" spans="3:23" ht="19.2" x14ac:dyDescent="0.3">
      <c r="C2" s="251" t="s">
        <v>1506</v>
      </c>
    </row>
    <row r="3" spans="3:23" ht="15" thickBot="1" x14ac:dyDescent="0.35"/>
    <row r="4" spans="3:23" ht="15.6" x14ac:dyDescent="0.3">
      <c r="C4" s="398" t="s">
        <v>1475</v>
      </c>
      <c r="D4" s="397" t="s">
        <v>1505</v>
      </c>
    </row>
    <row r="5" spans="3:23" x14ac:dyDescent="0.3">
      <c r="C5" s="396" t="s">
        <v>1504</v>
      </c>
      <c r="D5" s="392" t="s">
        <v>51</v>
      </c>
    </row>
    <row r="6" spans="3:23" ht="15.6" x14ac:dyDescent="0.3">
      <c r="C6" s="395" t="s">
        <v>1503</v>
      </c>
      <c r="D6" s="392" t="s">
        <v>27</v>
      </c>
      <c r="F6" s="394"/>
      <c r="P6" s="260"/>
      <c r="Q6" s="260"/>
      <c r="R6" s="260"/>
      <c r="S6" s="260"/>
      <c r="T6" s="260"/>
      <c r="U6" s="260"/>
      <c r="V6" s="260"/>
      <c r="W6" s="260"/>
    </row>
    <row r="7" spans="3:23" ht="15" x14ac:dyDescent="0.3">
      <c r="C7" s="393" t="s">
        <v>1502</v>
      </c>
      <c r="D7" s="392" t="s">
        <v>12</v>
      </c>
      <c r="M7" s="370"/>
      <c r="P7" s="260"/>
      <c r="Q7" s="260"/>
      <c r="R7" s="260"/>
      <c r="S7" s="260"/>
      <c r="T7" s="260"/>
      <c r="U7" s="260"/>
      <c r="V7" s="260"/>
      <c r="W7" s="260"/>
    </row>
    <row r="8" spans="3:23" ht="14.4" customHeight="1" thickBot="1" x14ac:dyDescent="0.35">
      <c r="C8" s="391" t="s">
        <v>1189</v>
      </c>
      <c r="D8" s="390" t="s">
        <v>1501</v>
      </c>
      <c r="P8" s="260"/>
      <c r="Q8" s="260"/>
      <c r="R8" s="260"/>
      <c r="S8" s="260"/>
      <c r="T8" s="260"/>
      <c r="U8" s="260"/>
      <c r="V8" s="260"/>
      <c r="W8" s="260"/>
    </row>
    <row r="9" spans="3:23" ht="12" customHeight="1" x14ac:dyDescent="0.3">
      <c r="C9" s="261" t="s">
        <v>1500</v>
      </c>
      <c r="D9" s="368" t="s">
        <v>1499</v>
      </c>
      <c r="P9" s="260"/>
      <c r="Q9" s="260"/>
      <c r="R9" s="260"/>
      <c r="S9" s="260"/>
      <c r="T9" s="260"/>
      <c r="U9" s="260"/>
      <c r="V9" s="260"/>
      <c r="W9" s="260"/>
    </row>
    <row r="10" spans="3:23" ht="12" customHeight="1" x14ac:dyDescent="0.3">
      <c r="C10" s="261" t="s">
        <v>1498</v>
      </c>
      <c r="D10" s="368" t="s">
        <v>1497</v>
      </c>
      <c r="P10" s="260"/>
      <c r="Q10" s="260"/>
      <c r="R10" s="260"/>
      <c r="S10" s="260"/>
      <c r="T10" s="260"/>
      <c r="U10" s="260"/>
      <c r="V10" s="260"/>
      <c r="W10" s="260"/>
    </row>
    <row r="11" spans="3:23" ht="16.95" customHeight="1" thickBot="1" x14ac:dyDescent="0.35">
      <c r="D11" s="368"/>
      <c r="P11" s="260"/>
      <c r="Q11" s="260"/>
      <c r="R11" s="260"/>
      <c r="S11" s="260"/>
      <c r="T11" s="260"/>
      <c r="U11" s="260"/>
      <c r="V11" s="260"/>
      <c r="W11" s="260"/>
    </row>
    <row r="12" spans="3:23" ht="16.2" thickTop="1" x14ac:dyDescent="0.3">
      <c r="C12" s="381" t="s">
        <v>1496</v>
      </c>
      <c r="D12" s="380" t="s">
        <v>1495</v>
      </c>
      <c r="P12" s="260"/>
      <c r="Q12" s="260"/>
      <c r="R12" s="260"/>
      <c r="S12" s="260"/>
      <c r="T12" s="260"/>
      <c r="U12" s="260"/>
      <c r="V12" s="260"/>
      <c r="W12" s="260"/>
    </row>
    <row r="13" spans="3:23" x14ac:dyDescent="0.3">
      <c r="C13" s="389" t="s">
        <v>1165</v>
      </c>
      <c r="D13" s="378" t="s">
        <v>1494</v>
      </c>
      <c r="P13" s="260"/>
      <c r="Q13" s="260"/>
      <c r="R13" s="260"/>
      <c r="S13" s="260"/>
      <c r="T13" s="260"/>
      <c r="U13" s="260"/>
      <c r="V13" s="260"/>
      <c r="W13" s="260"/>
    </row>
    <row r="14" spans="3:23" x14ac:dyDescent="0.3">
      <c r="C14" s="387" t="s">
        <v>26</v>
      </c>
      <c r="D14" s="388" t="s">
        <v>1493</v>
      </c>
      <c r="P14" s="260"/>
      <c r="Q14" s="260"/>
      <c r="R14" s="260"/>
      <c r="S14" s="260"/>
      <c r="T14" s="260"/>
      <c r="U14" s="260"/>
      <c r="V14" s="260"/>
      <c r="W14" s="260"/>
    </row>
    <row r="15" spans="3:23" x14ac:dyDescent="0.3">
      <c r="C15" s="387" t="s">
        <v>18</v>
      </c>
      <c r="D15" s="386" t="s">
        <v>1492</v>
      </c>
      <c r="P15" s="260"/>
      <c r="Q15" s="260"/>
      <c r="R15" s="260"/>
      <c r="S15" s="260"/>
      <c r="T15" s="260"/>
      <c r="U15" s="260"/>
      <c r="V15" s="260"/>
      <c r="W15" s="260"/>
    </row>
    <row r="16" spans="3:23" x14ac:dyDescent="0.3">
      <c r="C16" s="385" t="s">
        <v>11</v>
      </c>
      <c r="D16" s="384" t="s">
        <v>1491</v>
      </c>
      <c r="P16" s="260"/>
      <c r="Q16" s="260"/>
      <c r="R16" s="260"/>
      <c r="S16" s="260"/>
      <c r="T16" s="260"/>
      <c r="U16" s="260"/>
      <c r="V16" s="260"/>
      <c r="W16" s="260"/>
    </row>
    <row r="17" spans="3:24" ht="15" thickBot="1" x14ac:dyDescent="0.35">
      <c r="C17" s="383" t="s">
        <v>1490</v>
      </c>
      <c r="D17" s="382" t="s">
        <v>1489</v>
      </c>
      <c r="P17" s="260"/>
      <c r="Q17" s="260"/>
      <c r="R17" s="260"/>
      <c r="S17" s="260"/>
      <c r="T17" s="260"/>
      <c r="U17" s="260"/>
      <c r="V17" s="260"/>
      <c r="W17" s="260"/>
    </row>
    <row r="18" spans="3:24" ht="15.6" thickTop="1" thickBot="1" x14ac:dyDescent="0.35">
      <c r="D18" s="368"/>
      <c r="P18" s="260"/>
      <c r="Q18" s="260"/>
      <c r="R18" s="260"/>
      <c r="S18" s="260"/>
      <c r="T18" s="260"/>
      <c r="U18" s="260"/>
      <c r="V18" s="260"/>
      <c r="W18" s="260"/>
    </row>
    <row r="19" spans="3:24" ht="16.2" thickTop="1" x14ac:dyDescent="0.3">
      <c r="C19" s="381" t="s">
        <v>1488</v>
      </c>
      <c r="D19" s="380" t="s">
        <v>1487</v>
      </c>
      <c r="P19" s="260"/>
      <c r="Q19" s="260"/>
      <c r="R19" s="260"/>
      <c r="S19" s="260"/>
      <c r="T19" s="260"/>
      <c r="U19" s="260"/>
      <c r="V19" s="260"/>
      <c r="W19" s="260"/>
    </row>
    <row r="20" spans="3:24" ht="20.399999999999999" customHeight="1" x14ac:dyDescent="0.3">
      <c r="C20" s="379" t="s">
        <v>1186</v>
      </c>
      <c r="D20" s="378" t="s">
        <v>1486</v>
      </c>
      <c r="P20" s="260"/>
      <c r="Q20" s="260"/>
      <c r="R20" s="260"/>
      <c r="S20" s="260"/>
      <c r="T20" s="260"/>
      <c r="U20" s="260"/>
      <c r="V20" s="260"/>
      <c r="W20" s="260"/>
    </row>
    <row r="21" spans="3:24" ht="15" customHeight="1" x14ac:dyDescent="0.3">
      <c r="C21" s="377" t="s">
        <v>1187</v>
      </c>
      <c r="D21" s="376" t="s">
        <v>1485</v>
      </c>
    </row>
    <row r="22" spans="3:24" ht="15" customHeight="1" x14ac:dyDescent="0.3">
      <c r="C22" s="375" t="s">
        <v>1274</v>
      </c>
      <c r="D22" s="374" t="s">
        <v>1484</v>
      </c>
    </row>
    <row r="23" spans="3:24" ht="15" customHeight="1" thickBot="1" x14ac:dyDescent="0.35">
      <c r="C23" s="373" t="s">
        <v>1432</v>
      </c>
      <c r="D23" s="372" t="s">
        <v>1483</v>
      </c>
    </row>
    <row r="24" spans="3:24" ht="15" thickTop="1" x14ac:dyDescent="0.3">
      <c r="C24" s="261"/>
      <c r="D24" s="15"/>
    </row>
    <row r="25" spans="3:24" x14ac:dyDescent="0.3">
      <c r="C25" s="261"/>
      <c r="D25" s="15"/>
    </row>
    <row r="26" spans="3:24" ht="15.6" x14ac:dyDescent="0.3">
      <c r="C26" s="371" t="s">
        <v>1482</v>
      </c>
      <c r="D26" s="15"/>
    </row>
    <row r="27" spans="3:24" ht="15" x14ac:dyDescent="0.3">
      <c r="C27" s="370" t="s">
        <v>1481</v>
      </c>
      <c r="D27" s="15"/>
    </row>
    <row r="28" spans="3:24" x14ac:dyDescent="0.3">
      <c r="C28" s="369" t="s">
        <v>1480</v>
      </c>
      <c r="D28" s="15"/>
    </row>
    <row r="29" spans="3:24" x14ac:dyDescent="0.3">
      <c r="C29" s="369" t="s">
        <v>1479</v>
      </c>
      <c r="D29" s="15"/>
    </row>
    <row r="30" spans="3:24" x14ac:dyDescent="0.3">
      <c r="C30" s="369" t="s">
        <v>1478</v>
      </c>
      <c r="D30" s="15"/>
    </row>
    <row r="31" spans="3:24" ht="15" thickBot="1" x14ac:dyDescent="0.35">
      <c r="C31" s="260" t="s">
        <v>1477</v>
      </c>
      <c r="D31" s="368"/>
    </row>
    <row r="32" spans="3:24" ht="31.8" thickBot="1" x14ac:dyDescent="0.35">
      <c r="C32" s="367" t="s">
        <v>1476</v>
      </c>
      <c r="D32" s="364" t="s">
        <v>1</v>
      </c>
      <c r="E32" s="365" t="s">
        <v>371</v>
      </c>
      <c r="F32" s="364" t="s">
        <v>1569</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2" t="s">
        <v>1470</v>
      </c>
      <c r="V32" s="361" t="s">
        <v>1469</v>
      </c>
      <c r="W32" s="361" t="s">
        <v>1468</v>
      </c>
      <c r="X32" s="361" t="s">
        <v>1467</v>
      </c>
    </row>
    <row r="33" spans="3:24" ht="18"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5" t="s">
        <v>1461</v>
      </c>
      <c r="V33" s="260"/>
      <c r="W33" s="260"/>
      <c r="X33" s="260"/>
    </row>
    <row r="34" spans="3:24" ht="18"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5" t="s">
        <v>1461</v>
      </c>
      <c r="V34" s="260"/>
      <c r="W34" s="260"/>
      <c r="X34" s="260"/>
    </row>
    <row r="35" spans="3:24" ht="18"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5" t="s">
        <v>1461</v>
      </c>
      <c r="V35" s="260"/>
      <c r="W35" s="260"/>
      <c r="X35" s="260"/>
    </row>
    <row r="36" spans="3:24"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349" t="s">
        <v>1459</v>
      </c>
      <c r="V36" s="260"/>
      <c r="W36" s="260"/>
      <c r="X36" s="260"/>
    </row>
    <row r="37" spans="3:24"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355"/>
      <c r="V37" s="260"/>
      <c r="W37" s="260"/>
      <c r="X37" s="260"/>
    </row>
    <row r="38" spans="3:24" ht="18"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1274</v>
      </c>
      <c r="R38" s="350" t="s">
        <v>1274</v>
      </c>
      <c r="S38" s="350" t="s">
        <v>1274</v>
      </c>
      <c r="T38" s="350" t="s">
        <v>1274</v>
      </c>
      <c r="U38" s="355"/>
      <c r="V38" s="260"/>
      <c r="W38" s="260"/>
      <c r="X38" s="260"/>
    </row>
    <row r="39" spans="3:24" s="261" customFormat="1" ht="18"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6" t="s">
        <v>1435</v>
      </c>
      <c r="R39" s="356" t="s">
        <v>1435</v>
      </c>
      <c r="S39" s="356" t="s">
        <v>1435</v>
      </c>
      <c r="T39" s="356" t="s">
        <v>1435</v>
      </c>
      <c r="U39" s="349"/>
    </row>
    <row r="40" spans="3:24" ht="1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6" t="s">
        <v>1435</v>
      </c>
      <c r="R40" s="356" t="s">
        <v>1435</v>
      </c>
      <c r="S40" s="356" t="s">
        <v>1435</v>
      </c>
      <c r="T40" s="356" t="s">
        <v>1435</v>
      </c>
      <c r="U40" s="355"/>
      <c r="V40" s="260"/>
      <c r="W40" s="260"/>
      <c r="X40" s="260"/>
    </row>
    <row r="41" spans="3:24" ht="18"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6" t="s">
        <v>1435</v>
      </c>
      <c r="R41" s="356" t="s">
        <v>1435</v>
      </c>
      <c r="S41" s="356" t="s">
        <v>1435</v>
      </c>
      <c r="T41" s="356" t="s">
        <v>1435</v>
      </c>
      <c r="U41" s="355"/>
      <c r="V41" s="260"/>
      <c r="W41" s="260"/>
      <c r="X41" s="260"/>
    </row>
    <row r="42" spans="3:24" ht="18"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8"/>
      <c r="V42" s="260"/>
      <c r="W42" s="260"/>
      <c r="X42" s="260"/>
    </row>
    <row r="43" spans="3:24" ht="18"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8"/>
      <c r="V43" s="260"/>
      <c r="W43" s="260"/>
      <c r="X43" s="260"/>
    </row>
    <row r="44" spans="3:24"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1274</v>
      </c>
      <c r="R44" s="350" t="s">
        <v>1274</v>
      </c>
      <c r="S44" s="350" t="s">
        <v>1274</v>
      </c>
      <c r="T44" s="350" t="s">
        <v>1274</v>
      </c>
      <c r="U44" s="349"/>
      <c r="V44" s="260"/>
      <c r="W44" s="260"/>
      <c r="X44" s="260"/>
    </row>
    <row r="45" spans="3:24" s="260" customFormat="1" ht="18"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6" t="s">
        <v>1435</v>
      </c>
      <c r="R45" s="356" t="s">
        <v>1435</v>
      </c>
      <c r="S45" s="356" t="s">
        <v>1435</v>
      </c>
      <c r="T45" s="356" t="s">
        <v>1435</v>
      </c>
      <c r="U45" s="355"/>
    </row>
    <row r="46" spans="3:24" s="260" customFormat="1" ht="18"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6" t="s">
        <v>1435</v>
      </c>
      <c r="R46" s="356" t="s">
        <v>1435</v>
      </c>
      <c r="S46" s="356" t="s">
        <v>1435</v>
      </c>
      <c r="T46" s="356" t="s">
        <v>1435</v>
      </c>
      <c r="U46" s="355"/>
    </row>
    <row r="47" spans="3:24" s="260" customFormat="1" ht="18"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6" t="s">
        <v>1435</v>
      </c>
      <c r="R47" s="356" t="s">
        <v>1435</v>
      </c>
      <c r="S47" s="356" t="s">
        <v>1435</v>
      </c>
      <c r="T47" s="356" t="s">
        <v>1435</v>
      </c>
      <c r="U47" s="355"/>
    </row>
    <row r="48" spans="3:24" ht="18"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5"/>
      <c r="V48" s="260"/>
      <c r="W48" s="260"/>
      <c r="X48" s="260"/>
    </row>
    <row r="49" spans="3:24" ht="18"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5"/>
      <c r="V49" s="260"/>
      <c r="W49" s="260"/>
      <c r="X49" s="260"/>
    </row>
    <row r="50" spans="3:24" ht="18"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1274</v>
      </c>
      <c r="R50" s="350" t="s">
        <v>1274</v>
      </c>
      <c r="S50" s="350" t="s">
        <v>1274</v>
      </c>
      <c r="T50" s="350" t="s">
        <v>1274</v>
      </c>
      <c r="U50" s="349"/>
      <c r="V50" s="260"/>
      <c r="W50" s="260"/>
      <c r="X50" s="260"/>
    </row>
    <row r="51" spans="3:24" ht="1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311" t="s">
        <v>1428</v>
      </c>
      <c r="V51" s="260"/>
      <c r="W51" s="260"/>
      <c r="X51" s="260"/>
    </row>
    <row r="52" spans="3:24" ht="1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311" t="s">
        <v>1428</v>
      </c>
      <c r="V52" s="260"/>
      <c r="W52" s="260"/>
      <c r="X52" s="260"/>
    </row>
    <row r="53" spans="3:24" ht="18"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311" t="s">
        <v>1423</v>
      </c>
      <c r="V53" s="260"/>
      <c r="W53" s="260"/>
      <c r="X53" s="260" t="s">
        <v>1427</v>
      </c>
    </row>
    <row r="54" spans="3:24" ht="39"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311"/>
      <c r="V54" s="260"/>
      <c r="W54" s="260"/>
      <c r="X54" s="260"/>
    </row>
    <row r="55" spans="3:24"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311" t="s">
        <v>1425</v>
      </c>
      <c r="V55" s="260" t="s">
        <v>1389</v>
      </c>
      <c r="W55" s="260" t="s">
        <v>1303</v>
      </c>
      <c r="X55" s="260" t="s">
        <v>1424</v>
      </c>
    </row>
    <row r="56" spans="3:24"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311" t="s">
        <v>1425</v>
      </c>
      <c r="V56" s="260" t="s">
        <v>1389</v>
      </c>
      <c r="W56" s="260" t="s">
        <v>1303</v>
      </c>
      <c r="X56" s="260" t="s">
        <v>1424</v>
      </c>
    </row>
    <row r="57" spans="3:24"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311" t="s">
        <v>1423</v>
      </c>
      <c r="V57" s="260"/>
      <c r="W57" s="260"/>
      <c r="X57" s="260" t="s">
        <v>1422</v>
      </c>
    </row>
    <row r="58" spans="3:24" ht="18" customHeight="1" x14ac:dyDescent="0.3">
      <c r="C58" s="321"/>
      <c r="D58" s="313" t="s">
        <v>83</v>
      </c>
      <c r="E58" s="279" t="s">
        <v>1529</v>
      </c>
      <c r="F58" s="320" t="s">
        <v>1277</v>
      </c>
      <c r="G58" s="315">
        <v>1</v>
      </c>
      <c r="H58" s="312" t="s">
        <v>1267</v>
      </c>
      <c r="I58" s="312">
        <v>1</v>
      </c>
      <c r="J58" s="314">
        <v>1</v>
      </c>
      <c r="K58" s="314" t="s">
        <v>1421</v>
      </c>
      <c r="L58" s="313" t="s">
        <v>432</v>
      </c>
      <c r="M58" s="312" t="s">
        <v>1420</v>
      </c>
      <c r="N58" s="313" t="s">
        <v>83</v>
      </c>
      <c r="O58" s="312" t="s">
        <v>83</v>
      </c>
      <c r="P58" s="328" t="s">
        <v>1274</v>
      </c>
      <c r="Q58" s="328" t="s">
        <v>1274</v>
      </c>
      <c r="R58" s="328" t="s">
        <v>1274</v>
      </c>
      <c r="S58" s="328" t="s">
        <v>1274</v>
      </c>
      <c r="T58" s="312" t="s">
        <v>1274</v>
      </c>
      <c r="U58" s="311" t="s">
        <v>1419</v>
      </c>
      <c r="V58" s="260" t="s">
        <v>1418</v>
      </c>
      <c r="W58" s="260"/>
      <c r="X58" s="260" t="s">
        <v>1417</v>
      </c>
    </row>
    <row r="59" spans="3:24"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311" t="s">
        <v>1412</v>
      </c>
      <c r="V59" s="260"/>
      <c r="W59" s="260"/>
      <c r="X59" s="260"/>
    </row>
    <row r="60" spans="3:24"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311" t="s">
        <v>1412</v>
      </c>
      <c r="V60" s="260"/>
      <c r="W60" s="260" t="s">
        <v>1415</v>
      </c>
      <c r="X60" s="260"/>
    </row>
    <row r="61" spans="3:24"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311" t="s">
        <v>1412</v>
      </c>
      <c r="V61" s="260" t="s">
        <v>1411</v>
      </c>
      <c r="W61" s="260" t="s">
        <v>1410</v>
      </c>
      <c r="X61" s="260" t="s">
        <v>1404</v>
      </c>
    </row>
    <row r="62" spans="3:24"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311" t="s">
        <v>1408</v>
      </c>
      <c r="V62" s="260"/>
      <c r="W62" s="260" t="s">
        <v>1407</v>
      </c>
      <c r="X62" s="260"/>
    </row>
    <row r="63" spans="3:24" ht="1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311"/>
      <c r="V63" s="260" t="s">
        <v>1406</v>
      </c>
      <c r="W63" s="260" t="s">
        <v>1405</v>
      </c>
      <c r="X63" s="260" t="s">
        <v>1404</v>
      </c>
    </row>
    <row r="64" spans="3:24"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327" t="s">
        <v>1403</v>
      </c>
      <c r="V64" s="260" t="s">
        <v>1389</v>
      </c>
      <c r="W64" s="260" t="s">
        <v>1303</v>
      </c>
      <c r="X64" s="345" t="s">
        <v>1402</v>
      </c>
    </row>
    <row r="65" spans="3:24"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311" t="s">
        <v>1399</v>
      </c>
      <c r="V65" s="260"/>
      <c r="W65" s="260"/>
      <c r="X65" s="260" t="s">
        <v>1398</v>
      </c>
    </row>
    <row r="66" spans="3:24" ht="18" customHeight="1" x14ac:dyDescent="0.3">
      <c r="C66" s="321"/>
      <c r="D66" s="313" t="s">
        <v>101</v>
      </c>
      <c r="E66" s="312" t="s">
        <v>100</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311"/>
      <c r="V66" s="260"/>
      <c r="W66" s="260"/>
      <c r="X66" s="260"/>
    </row>
    <row r="67" spans="3:24"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311"/>
      <c r="V67" s="260"/>
      <c r="W67" s="260"/>
      <c r="X67" s="260"/>
    </row>
    <row r="68" spans="3:24"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311"/>
      <c r="V68" s="260"/>
      <c r="W68" s="260"/>
      <c r="X68" s="260"/>
    </row>
    <row r="69" spans="3:24" ht="18" customHeight="1" x14ac:dyDescent="0.3">
      <c r="C69" s="321"/>
      <c r="D69" s="332" t="s">
        <v>107</v>
      </c>
      <c r="E69" s="312" t="s">
        <v>100</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311"/>
      <c r="V69" s="260"/>
      <c r="W69" s="260"/>
      <c r="X69" s="260"/>
    </row>
    <row r="70" spans="3:24" ht="18" customHeight="1" x14ac:dyDescent="0.3">
      <c r="C70" s="321"/>
      <c r="D70" s="338" t="s">
        <v>109</v>
      </c>
      <c r="E70" s="339" t="s">
        <v>108</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346"/>
      <c r="V70" s="260" t="s">
        <v>1234</v>
      </c>
      <c r="W70" s="260"/>
      <c r="X70" s="260"/>
    </row>
    <row r="71" spans="3:24" ht="18" customHeight="1" x14ac:dyDescent="0.3">
      <c r="C71" s="321"/>
      <c r="D71" s="338" t="s">
        <v>111</v>
      </c>
      <c r="E71" s="339" t="s">
        <v>108</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346"/>
      <c r="V71" s="260" t="s">
        <v>1234</v>
      </c>
      <c r="W71" s="260"/>
      <c r="X71" s="260"/>
    </row>
    <row r="72" spans="3:24" ht="18" customHeight="1" x14ac:dyDescent="0.3">
      <c r="C72" s="321"/>
      <c r="D72" s="338" t="s">
        <v>113</v>
      </c>
      <c r="E72" s="339" t="s">
        <v>108</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346"/>
      <c r="V72" s="260" t="s">
        <v>1234</v>
      </c>
      <c r="W72" s="260"/>
      <c r="X72" s="260"/>
    </row>
    <row r="73" spans="3:24" ht="18" customHeight="1" x14ac:dyDescent="0.3">
      <c r="C73" s="321"/>
      <c r="D73" s="338" t="s">
        <v>115</v>
      </c>
      <c r="E73" s="339" t="s">
        <v>108</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346"/>
      <c r="V73" s="260" t="s">
        <v>1234</v>
      </c>
      <c r="W73" s="260"/>
      <c r="X73" s="260"/>
    </row>
    <row r="74" spans="3:24" ht="18" customHeight="1" x14ac:dyDescent="0.3">
      <c r="C74" s="321"/>
      <c r="D74" s="338" t="s">
        <v>117</v>
      </c>
      <c r="E74" s="339" t="s">
        <v>108</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346"/>
      <c r="V74" s="260" t="s">
        <v>1234</v>
      </c>
      <c r="W74" s="260"/>
      <c r="X74" s="260"/>
    </row>
    <row r="75" spans="3:24"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311"/>
      <c r="V75" s="260" t="s">
        <v>1389</v>
      </c>
      <c r="W75" s="260"/>
      <c r="X75" s="260"/>
    </row>
    <row r="76" spans="3:24"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311"/>
      <c r="V76" s="260" t="s">
        <v>1389</v>
      </c>
      <c r="W76" s="260"/>
      <c r="X76" s="260"/>
    </row>
    <row r="77" spans="3:24"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311"/>
      <c r="V77" s="345" t="s">
        <v>1348</v>
      </c>
      <c r="W77" s="260"/>
      <c r="X77" s="345" t="s">
        <v>1388</v>
      </c>
    </row>
    <row r="78" spans="3:24" ht="18" customHeight="1" x14ac:dyDescent="0.3">
      <c r="C78" s="321"/>
      <c r="D78" s="313" t="s">
        <v>129</v>
      </c>
      <c r="E78" s="312" t="s">
        <v>100</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311"/>
      <c r="V78" s="260"/>
      <c r="W78" s="260" t="s">
        <v>1387</v>
      </c>
      <c r="X78" s="260"/>
    </row>
    <row r="79" spans="3:24" ht="18" customHeight="1" x14ac:dyDescent="0.3">
      <c r="C79" s="321"/>
      <c r="D79" s="338" t="s">
        <v>131</v>
      </c>
      <c r="E79" s="339" t="s">
        <v>108</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335"/>
      <c r="V79" s="345" t="s">
        <v>1348</v>
      </c>
      <c r="W79" s="260"/>
      <c r="X79" s="260"/>
    </row>
    <row r="80" spans="3:24"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335"/>
      <c r="V80" s="260"/>
      <c r="W80" s="260"/>
      <c r="X80" s="260"/>
    </row>
    <row r="81" spans="3:24" ht="18" customHeight="1" x14ac:dyDescent="0.3">
      <c r="C81" s="321"/>
      <c r="D81" s="338" t="s">
        <v>376</v>
      </c>
      <c r="E81" s="339" t="s">
        <v>1148</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335"/>
      <c r="V81" s="260" t="s">
        <v>1348</v>
      </c>
      <c r="W81" s="260"/>
      <c r="X81" s="260"/>
    </row>
    <row r="82" spans="3:24"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327" t="s">
        <v>1384</v>
      </c>
      <c r="V82" s="260" t="s">
        <v>1348</v>
      </c>
      <c r="W82" s="260" t="s">
        <v>1378</v>
      </c>
      <c r="X82" s="260"/>
    </row>
    <row r="83" spans="3:24"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327" t="s">
        <v>1382</v>
      </c>
      <c r="V83" s="260" t="s">
        <v>1348</v>
      </c>
      <c r="W83" s="260" t="s">
        <v>1381</v>
      </c>
      <c r="X83" s="260"/>
    </row>
    <row r="84" spans="3:24"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311"/>
      <c r="V84" s="260"/>
      <c r="W84" s="260"/>
      <c r="X84" s="260"/>
    </row>
    <row r="85" spans="3:24"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311" t="s">
        <v>1379</v>
      </c>
      <c r="V85" s="260" t="s">
        <v>1330</v>
      </c>
      <c r="W85" s="260" t="s">
        <v>1378</v>
      </c>
      <c r="X85" s="260"/>
    </row>
    <row r="86" spans="3:24"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311" t="s">
        <v>1377</v>
      </c>
      <c r="V86" s="260" t="s">
        <v>1376</v>
      </c>
      <c r="W86" s="260" t="s">
        <v>1303</v>
      </c>
      <c r="X86" s="260"/>
    </row>
    <row r="87" spans="3:24"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311"/>
      <c r="V87" s="260"/>
      <c r="W87" s="260"/>
      <c r="X87" s="260"/>
    </row>
    <row r="88" spans="3:24"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311" t="s">
        <v>1374</v>
      </c>
      <c r="V88" s="260" t="s">
        <v>1348</v>
      </c>
      <c r="W88" s="260" t="s">
        <v>1303</v>
      </c>
      <c r="X88" s="260"/>
    </row>
    <row r="89" spans="3:24"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311" t="s">
        <v>1372</v>
      </c>
      <c r="V89" s="260" t="s">
        <v>1330</v>
      </c>
      <c r="W89" s="260" t="s">
        <v>1303</v>
      </c>
      <c r="X89" s="260"/>
    </row>
    <row r="90" spans="3:24"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311"/>
      <c r="V90" s="260"/>
      <c r="W90" s="260"/>
      <c r="X90" s="260"/>
    </row>
    <row r="91" spans="3:24"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311" t="s">
        <v>1370</v>
      </c>
      <c r="V91" s="260"/>
      <c r="W91" s="260"/>
      <c r="X91" s="260"/>
    </row>
    <row r="92" spans="3:24"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327" t="s">
        <v>1367</v>
      </c>
      <c r="V92" s="260"/>
      <c r="W92" s="260" t="s">
        <v>1366</v>
      </c>
      <c r="X92" s="260"/>
    </row>
    <row r="93" spans="3:24"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311"/>
      <c r="V93" s="260" t="s">
        <v>1330</v>
      </c>
      <c r="W93" s="260"/>
      <c r="X93" s="260"/>
    </row>
    <row r="94" spans="3:24"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311"/>
      <c r="V94" s="260" t="s">
        <v>1330</v>
      </c>
      <c r="W94" s="260" t="s">
        <v>1363</v>
      </c>
      <c r="X94" s="260"/>
    </row>
    <row r="95" spans="3:24"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311"/>
      <c r="V95" s="260" t="s">
        <v>1330</v>
      </c>
      <c r="W95" s="260"/>
      <c r="X95" s="260"/>
    </row>
    <row r="96" spans="3:24"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327" t="s">
        <v>1360</v>
      </c>
      <c r="V96" s="260" t="s">
        <v>1330</v>
      </c>
      <c r="W96" s="260" t="s">
        <v>1360</v>
      </c>
      <c r="X96" s="260"/>
    </row>
    <row r="97" spans="3:24"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311"/>
      <c r="V97" s="260" t="s">
        <v>1234</v>
      </c>
      <c r="W97" s="260" t="s">
        <v>1303</v>
      </c>
      <c r="X97" s="260"/>
    </row>
    <row r="98" spans="3:24"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311"/>
      <c r="V98" s="260" t="s">
        <v>1348</v>
      </c>
      <c r="W98" s="260"/>
      <c r="X98" s="260"/>
    </row>
    <row r="99" spans="3:24"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311"/>
      <c r="V99" s="260"/>
      <c r="W99" s="260"/>
      <c r="X99" s="260"/>
    </row>
    <row r="100" spans="3:24"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311"/>
      <c r="V100" s="260" t="s">
        <v>1353</v>
      </c>
      <c r="W100" s="260" t="s">
        <v>1304</v>
      </c>
      <c r="X100" s="260"/>
    </row>
    <row r="101" spans="3:24"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311"/>
      <c r="V101" s="260"/>
      <c r="W101" s="260"/>
      <c r="X101" s="260"/>
    </row>
    <row r="102" spans="3:24"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311"/>
      <c r="V102" s="260" t="s">
        <v>1350</v>
      </c>
      <c r="W102" s="260" t="s">
        <v>1303</v>
      </c>
      <c r="X102" s="260"/>
    </row>
    <row r="103" spans="3:24"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311" t="s">
        <v>1349</v>
      </c>
      <c r="V103" s="260" t="s">
        <v>1348</v>
      </c>
      <c r="W103" s="260" t="s">
        <v>1347</v>
      </c>
      <c r="X103" s="260"/>
    </row>
    <row r="104" spans="3:24"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311"/>
      <c r="V104" s="260" t="s">
        <v>1330</v>
      </c>
      <c r="W104" s="260"/>
      <c r="X104" s="260"/>
    </row>
    <row r="105" spans="3:24"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311"/>
      <c r="V105" s="260" t="s">
        <v>1330</v>
      </c>
      <c r="W105" s="260" t="s">
        <v>1344</v>
      </c>
      <c r="X105" s="260"/>
    </row>
    <row r="106" spans="3:24"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327" t="s">
        <v>1341</v>
      </c>
      <c r="V106" s="260" t="s">
        <v>1340</v>
      </c>
      <c r="W106" s="260" t="s">
        <v>1339</v>
      </c>
      <c r="X106" s="260"/>
    </row>
    <row r="107" spans="3:24" ht="18" customHeight="1" x14ac:dyDescent="0.3">
      <c r="C107" s="317" t="s">
        <v>191</v>
      </c>
      <c r="D107" s="285" t="s">
        <v>192</v>
      </c>
      <c r="E107" s="279" t="s">
        <v>1523</v>
      </c>
      <c r="F107" s="316" t="s">
        <v>1295</v>
      </c>
      <c r="G107" s="410" t="s">
        <v>1530</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327" t="s">
        <v>1336</v>
      </c>
      <c r="V107" s="260" t="s">
        <v>1335</v>
      </c>
      <c r="W107" s="260" t="s">
        <v>1334</v>
      </c>
      <c r="X107" s="260"/>
    </row>
    <row r="108" spans="3:24"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311" t="s">
        <v>1331</v>
      </c>
      <c r="V108" s="260" t="s">
        <v>1330</v>
      </c>
      <c r="W108" s="260" t="s">
        <v>1329</v>
      </c>
      <c r="X108" s="260"/>
    </row>
    <row r="109" spans="3:24"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311"/>
      <c r="V109" s="260" t="s">
        <v>1234</v>
      </c>
      <c r="W109" s="260" t="s">
        <v>1303</v>
      </c>
      <c r="X109" s="260"/>
    </row>
    <row r="110" spans="3:24"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311"/>
      <c r="V110" s="260"/>
      <c r="W110" s="260"/>
      <c r="X110" s="260"/>
    </row>
    <row r="111" spans="3:24"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311"/>
      <c r="V111" s="260" t="s">
        <v>1321</v>
      </c>
      <c r="W111" s="260" t="s">
        <v>1320</v>
      </c>
      <c r="X111" s="260"/>
    </row>
    <row r="112" spans="3:24"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311"/>
      <c r="V112" s="260"/>
      <c r="W112" s="260"/>
      <c r="X112" s="260"/>
    </row>
    <row r="113" spans="3:24"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311"/>
      <c r="V113" s="260"/>
      <c r="W113" s="260"/>
      <c r="X113" s="260"/>
    </row>
    <row r="114" spans="3:24"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311"/>
      <c r="V114" s="260"/>
      <c r="W114" s="260"/>
      <c r="X114" s="260"/>
    </row>
    <row r="115" spans="3:24"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311"/>
      <c r="V115" s="260" t="s">
        <v>1321</v>
      </c>
      <c r="W115" s="260" t="s">
        <v>1320</v>
      </c>
      <c r="X115" s="260"/>
    </row>
    <row r="116" spans="3:24"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311"/>
      <c r="V116" s="260" t="s">
        <v>1321</v>
      </c>
      <c r="W116" s="260" t="s">
        <v>1320</v>
      </c>
      <c r="X116" s="260"/>
    </row>
    <row r="117" spans="3:24"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327" t="s">
        <v>1319</v>
      </c>
      <c r="V117" s="260" t="s">
        <v>1318</v>
      </c>
      <c r="W117" s="260" t="s">
        <v>1318</v>
      </c>
      <c r="X117" s="260"/>
    </row>
    <row r="118" spans="3:24"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327" t="s">
        <v>1319</v>
      </c>
      <c r="V118" s="260" t="s">
        <v>1318</v>
      </c>
      <c r="W118" s="260" t="s">
        <v>1318</v>
      </c>
      <c r="X118" s="260"/>
    </row>
    <row r="119" spans="3:24"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327" t="s">
        <v>1319</v>
      </c>
      <c r="V119" s="260" t="s">
        <v>1318</v>
      </c>
      <c r="W119" s="260" t="s">
        <v>1318</v>
      </c>
      <c r="X119" s="260"/>
    </row>
    <row r="120" spans="3:24"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311"/>
      <c r="V120" s="260" t="s">
        <v>1316</v>
      </c>
      <c r="W120" s="260" t="s">
        <v>1316</v>
      </c>
      <c r="X120" s="260"/>
    </row>
    <row r="121" spans="3:24"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311" t="s">
        <v>1315</v>
      </c>
      <c r="V121" s="260" t="s">
        <v>1314</v>
      </c>
      <c r="W121" s="260" t="s">
        <v>1313</v>
      </c>
      <c r="X121" s="260"/>
    </row>
    <row r="122" spans="3:24" ht="18" customHeight="1" x14ac:dyDescent="0.3">
      <c r="C122" s="317"/>
      <c r="D122" s="326" t="s">
        <v>1579</v>
      </c>
      <c r="E122" s="328" t="s">
        <v>1578</v>
      </c>
      <c r="F122" s="316" t="s">
        <v>1295</v>
      </c>
      <c r="G122" s="315">
        <v>0</v>
      </c>
      <c r="H122" s="312" t="s">
        <v>1267</v>
      </c>
      <c r="I122" s="312">
        <v>1</v>
      </c>
      <c r="J122" s="314">
        <v>1</v>
      </c>
      <c r="K122" s="314" t="s">
        <v>1310</v>
      </c>
      <c r="L122" s="313" t="s">
        <v>1561</v>
      </c>
      <c r="M122" s="312" t="s">
        <v>1312</v>
      </c>
      <c r="N122" s="313" t="s">
        <v>213</v>
      </c>
      <c r="O122" s="312" t="s">
        <v>213</v>
      </c>
      <c r="P122" s="312" t="s">
        <v>1187</v>
      </c>
      <c r="Q122" s="312" t="s">
        <v>1187</v>
      </c>
      <c r="R122" s="312" t="s">
        <v>1187</v>
      </c>
      <c r="S122" s="312" t="s">
        <v>1187</v>
      </c>
      <c r="T122" s="312" t="s">
        <v>1187</v>
      </c>
      <c r="U122" s="311"/>
      <c r="V122" s="260"/>
      <c r="W122" s="260"/>
      <c r="X122" s="260"/>
    </row>
    <row r="123" spans="3:24"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311"/>
      <c r="V123" s="260"/>
      <c r="W123" s="260"/>
      <c r="X123" s="260"/>
    </row>
    <row r="124" spans="3:24"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311"/>
      <c r="V124" s="260"/>
      <c r="W124" s="260"/>
      <c r="X124" s="260"/>
    </row>
    <row r="125" spans="3:24"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311"/>
      <c r="V125" s="260"/>
      <c r="W125" s="260"/>
      <c r="X125" s="260"/>
    </row>
    <row r="126" spans="3:24"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311"/>
      <c r="V126" s="260"/>
      <c r="W126" s="260" t="s">
        <v>1306</v>
      </c>
      <c r="X126" s="260"/>
    </row>
    <row r="127" spans="3:24"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311" t="s">
        <v>1280</v>
      </c>
      <c r="V127" s="260"/>
      <c r="W127" s="260"/>
      <c r="X127" s="260"/>
    </row>
    <row r="128" spans="3:24"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311"/>
      <c r="V128" s="260"/>
      <c r="W128" s="260" t="s">
        <v>1304</v>
      </c>
      <c r="X128" s="260"/>
    </row>
    <row r="129" spans="3:24" ht="18" customHeight="1" x14ac:dyDescent="0.3">
      <c r="C129" s="317"/>
      <c r="D129" s="313" t="s">
        <v>228</v>
      </c>
      <c r="E129" s="312" t="s">
        <v>100</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311"/>
      <c r="V129" s="260"/>
      <c r="W129" s="260" t="s">
        <v>1304</v>
      </c>
      <c r="X129" s="260"/>
    </row>
    <row r="130" spans="3:24" ht="18" customHeight="1" x14ac:dyDescent="0.3">
      <c r="C130" s="317"/>
      <c r="D130" s="313" t="s">
        <v>230</v>
      </c>
      <c r="E130" s="312" t="s">
        <v>100</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311"/>
      <c r="V130" s="260"/>
      <c r="W130" s="260" t="s">
        <v>1304</v>
      </c>
      <c r="X130" s="260"/>
    </row>
    <row r="131" spans="3:24" ht="18" customHeight="1" x14ac:dyDescent="0.3">
      <c r="C131" s="317"/>
      <c r="D131" s="313" t="s">
        <v>232</v>
      </c>
      <c r="E131" s="312" t="s">
        <v>100</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311"/>
      <c r="V131" s="260"/>
      <c r="W131" s="260" t="s">
        <v>1304</v>
      </c>
      <c r="X131" s="260"/>
    </row>
    <row r="132" spans="3:24"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311" t="s">
        <v>1280</v>
      </c>
      <c r="V132" s="260" t="s">
        <v>1303</v>
      </c>
      <c r="W132" s="260" t="s">
        <v>1303</v>
      </c>
      <c r="X132" s="260"/>
    </row>
    <row r="133" spans="3:24" ht="18"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311"/>
      <c r="V133" s="260"/>
      <c r="W133" s="260"/>
      <c r="X133" s="260"/>
    </row>
    <row r="134" spans="3:24" ht="18" customHeight="1" x14ac:dyDescent="0.3">
      <c r="C134" s="317"/>
      <c r="D134" s="326" t="s">
        <v>1580</v>
      </c>
      <c r="E134" s="328" t="s">
        <v>1570</v>
      </c>
      <c r="F134" s="320" t="s">
        <v>1277</v>
      </c>
      <c r="G134" s="315">
        <v>0</v>
      </c>
      <c r="H134" s="312" t="s">
        <v>1267</v>
      </c>
      <c r="I134" s="312">
        <v>1</v>
      </c>
      <c r="J134" s="314">
        <v>1</v>
      </c>
      <c r="K134" s="314" t="s">
        <v>1300</v>
      </c>
      <c r="L134" s="313" t="s">
        <v>1603</v>
      </c>
      <c r="M134" s="312" t="s">
        <v>1299</v>
      </c>
      <c r="N134" s="313" t="s">
        <v>889</v>
      </c>
      <c r="O134" s="312" t="s">
        <v>889</v>
      </c>
      <c r="P134" s="312" t="s">
        <v>1187</v>
      </c>
      <c r="Q134" s="312" t="s">
        <v>1187</v>
      </c>
      <c r="R134" s="312" t="s">
        <v>1187</v>
      </c>
      <c r="S134" s="312" t="s">
        <v>1187</v>
      </c>
      <c r="T134" s="312" t="s">
        <v>1187</v>
      </c>
      <c r="U134" s="311"/>
      <c r="V134" s="260"/>
      <c r="W134" s="260"/>
      <c r="X134" s="260"/>
    </row>
    <row r="135" spans="3:24" ht="1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311"/>
      <c r="V135" s="260"/>
      <c r="W135" s="260"/>
      <c r="X135" s="260"/>
    </row>
    <row r="136" spans="3:24" ht="18"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327"/>
      <c r="V136" s="260"/>
      <c r="W136" s="260"/>
      <c r="X136" s="260"/>
    </row>
    <row r="137" spans="3:24"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311" t="s">
        <v>1297</v>
      </c>
      <c r="V137" s="260" t="s">
        <v>1296</v>
      </c>
      <c r="W137" s="260"/>
      <c r="X137" s="260"/>
    </row>
    <row r="138" spans="3:24" ht="18"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311"/>
      <c r="V138" s="260"/>
      <c r="W138" s="260"/>
      <c r="X138" s="260"/>
    </row>
    <row r="139" spans="3:24"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11"/>
      <c r="V139" s="260"/>
      <c r="W139" s="260"/>
      <c r="X139" s="260"/>
    </row>
    <row r="140" spans="3:24"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11"/>
      <c r="V140" s="260"/>
      <c r="W140" s="260"/>
      <c r="X140" s="260"/>
    </row>
    <row r="141" spans="3:24"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11"/>
      <c r="V141" s="260"/>
      <c r="W141" s="260"/>
      <c r="X141" s="260"/>
    </row>
    <row r="142" spans="3:24"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11"/>
      <c r="V142" s="260"/>
      <c r="W142" s="260"/>
      <c r="X142" s="260"/>
    </row>
    <row r="143" spans="3:24"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311"/>
      <c r="V143" s="260"/>
      <c r="W143" s="260"/>
      <c r="X143" s="260"/>
    </row>
    <row r="144" spans="3:24"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311"/>
      <c r="V144" s="260"/>
      <c r="W144" s="260"/>
      <c r="X144" s="260"/>
    </row>
    <row r="145" spans="3:24"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311"/>
      <c r="V145" s="260"/>
      <c r="W145" s="260"/>
      <c r="X145" s="260"/>
    </row>
    <row r="146" spans="3:24"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311"/>
      <c r="V146" s="260"/>
      <c r="W146" s="260"/>
      <c r="X146" s="260"/>
    </row>
    <row r="147" spans="3:24"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311" t="s">
        <v>1280</v>
      </c>
      <c r="V147" s="260"/>
      <c r="W147" s="260"/>
      <c r="X147" s="260"/>
    </row>
    <row r="148" spans="3:24"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311" t="s">
        <v>1280</v>
      </c>
      <c r="V148" s="260"/>
      <c r="W148" s="260"/>
      <c r="X148" s="260"/>
    </row>
    <row r="149" spans="3:24"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311" t="s">
        <v>1280</v>
      </c>
      <c r="V149" s="260"/>
      <c r="W149" s="260"/>
      <c r="X149" s="260"/>
    </row>
    <row r="150" spans="3:24"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311"/>
      <c r="V150" s="260"/>
      <c r="W150" s="260"/>
      <c r="X150" s="260"/>
    </row>
    <row r="151" spans="3:24"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311"/>
      <c r="V151" s="260"/>
      <c r="W151" s="260"/>
      <c r="X151" s="260"/>
    </row>
    <row r="152" spans="3:24"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311"/>
      <c r="V152" s="260"/>
      <c r="W152" s="260"/>
      <c r="X152" s="260"/>
    </row>
    <row r="153" spans="3:24" ht="18"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311"/>
      <c r="V153" s="260"/>
      <c r="W153" s="260"/>
      <c r="X153" s="260"/>
    </row>
    <row r="154" spans="3:24" ht="18"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311"/>
      <c r="V154" s="260"/>
      <c r="W154" s="260"/>
      <c r="X154" s="260"/>
    </row>
    <row r="155" spans="3:24" ht="18"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311"/>
      <c r="V155" s="260"/>
      <c r="W155" s="260"/>
      <c r="X155" s="260"/>
    </row>
    <row r="156" spans="3:24" ht="18"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311"/>
      <c r="V156" s="260"/>
      <c r="W156" s="260"/>
      <c r="X156" s="260"/>
    </row>
    <row r="157" spans="3:24"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299"/>
      <c r="V157" s="260" t="s">
        <v>1262</v>
      </c>
      <c r="W157" s="260"/>
      <c r="X157" s="260"/>
    </row>
    <row r="158" spans="3:24"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299"/>
      <c r="V158" s="260" t="s">
        <v>1254</v>
      </c>
      <c r="W158" s="260"/>
      <c r="X158" s="260"/>
    </row>
    <row r="159" spans="3:24"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299"/>
      <c r="V159" s="260" t="s">
        <v>1254</v>
      </c>
      <c r="W159" s="260"/>
      <c r="X159" s="260"/>
    </row>
    <row r="160" spans="3:24"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299"/>
      <c r="V160" s="260" t="s">
        <v>1254</v>
      </c>
      <c r="W160" s="260"/>
      <c r="X160" s="260" t="s">
        <v>1255</v>
      </c>
    </row>
    <row r="161" spans="3:24"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299"/>
      <c r="V161" s="260" t="s">
        <v>1254</v>
      </c>
      <c r="W161" s="260"/>
      <c r="X161" s="260"/>
    </row>
    <row r="162" spans="3:24"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88" t="s">
        <v>1251</v>
      </c>
      <c r="V162" s="260" t="s">
        <v>1253</v>
      </c>
      <c r="W162" s="260"/>
      <c r="X162" s="260"/>
    </row>
    <row r="163" spans="3:24"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88" t="s">
        <v>1251</v>
      </c>
      <c r="V163" s="260" t="s">
        <v>1250</v>
      </c>
      <c r="W163" s="260"/>
      <c r="X163" s="260"/>
    </row>
    <row r="164" spans="3:24" ht="18" customHeight="1" x14ac:dyDescent="0.3">
      <c r="C164" s="294"/>
      <c r="D164" s="291" t="s">
        <v>22</v>
      </c>
      <c r="E164" s="291" t="s">
        <v>22</v>
      </c>
      <c r="F164" s="291" t="s">
        <v>1568</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88"/>
      <c r="V164" s="260"/>
      <c r="W164" s="260"/>
      <c r="X164" s="260"/>
    </row>
    <row r="165" spans="3:24"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88"/>
      <c r="V165" s="260"/>
      <c r="W165" s="260"/>
      <c r="X165" s="260"/>
    </row>
    <row r="166" spans="3:24"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288"/>
      <c r="V166" s="260"/>
      <c r="W166" s="260"/>
      <c r="X166" s="260"/>
    </row>
    <row r="167" spans="3:24"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88"/>
      <c r="V167" s="260"/>
      <c r="W167" s="260"/>
      <c r="X167" s="260" t="s">
        <v>1243</v>
      </c>
    </row>
    <row r="168" spans="3:24"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281"/>
      <c r="V168" s="260"/>
      <c r="W168" s="260"/>
      <c r="X168" s="260"/>
    </row>
    <row r="169" spans="3:24"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281"/>
      <c r="V169" s="260"/>
      <c r="W169" s="260"/>
      <c r="X169" s="260"/>
    </row>
    <row r="170" spans="3:24"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281"/>
      <c r="V170" s="260"/>
      <c r="W170" s="260"/>
      <c r="X170" s="260"/>
    </row>
    <row r="171" spans="3:24"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281"/>
      <c r="V171" s="260"/>
      <c r="W171" s="260"/>
      <c r="X171" s="260"/>
    </row>
    <row r="172" spans="3:24" ht="18" customHeight="1" x14ac:dyDescent="0.3">
      <c r="C172" s="275"/>
      <c r="D172" s="280"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281"/>
      <c r="V172" s="260" t="s">
        <v>1238</v>
      </c>
      <c r="W172" s="260"/>
      <c r="X172" s="260"/>
    </row>
    <row r="173" spans="3:24" ht="18" customHeight="1" x14ac:dyDescent="0.3">
      <c r="C173" s="275"/>
      <c r="D173" s="282"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286"/>
      <c r="V173" s="260" t="s">
        <v>1236</v>
      </c>
      <c r="W173" s="260"/>
      <c r="X173" s="260"/>
    </row>
    <row r="174" spans="3:24" ht="18" customHeight="1" x14ac:dyDescent="0.3">
      <c r="C174" s="275"/>
      <c r="D174" s="280"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281"/>
      <c r="V174" s="260" t="s">
        <v>1234</v>
      </c>
      <c r="W174" s="260"/>
      <c r="X174" s="260"/>
    </row>
    <row r="175" spans="3:24" ht="18" customHeight="1" x14ac:dyDescent="0.3">
      <c r="C175" s="275"/>
      <c r="D175" s="280"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281"/>
      <c r="V175" s="260" t="s">
        <v>1216</v>
      </c>
      <c r="W175" s="260"/>
      <c r="X175" s="260"/>
    </row>
    <row r="176" spans="3:24"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281"/>
      <c r="V176" s="260"/>
      <c r="W176" s="260"/>
      <c r="X176" s="260"/>
    </row>
    <row r="177" spans="3:24"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281"/>
      <c r="V177" s="260" t="s">
        <v>1230</v>
      </c>
      <c r="W177" s="260"/>
      <c r="X177" s="260"/>
    </row>
    <row r="178" spans="3:24"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281"/>
      <c r="V178" s="260" t="s">
        <v>1216</v>
      </c>
      <c r="W178" s="260"/>
      <c r="X178" s="260"/>
    </row>
    <row r="179" spans="3:24"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281" t="s">
        <v>1229</v>
      </c>
      <c r="V179" s="260" t="s">
        <v>1216</v>
      </c>
      <c r="W179" s="260"/>
      <c r="X179" s="260"/>
    </row>
    <row r="180" spans="3:24"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283"/>
      <c r="V180" s="260"/>
      <c r="W180" s="260"/>
      <c r="X180" s="260"/>
    </row>
    <row r="181" spans="3:24"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283"/>
      <c r="V181" s="260"/>
      <c r="W181" s="260"/>
      <c r="X181" s="260"/>
    </row>
    <row r="182" spans="3:24"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283"/>
      <c r="V182" s="260"/>
      <c r="W182" s="260"/>
      <c r="X182" s="260"/>
    </row>
    <row r="183" spans="3:24"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283"/>
      <c r="V183" s="260"/>
      <c r="W183" s="260"/>
      <c r="X183" s="260"/>
    </row>
    <row r="184" spans="3:24"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281"/>
      <c r="V184" s="260" t="s">
        <v>1221</v>
      </c>
      <c r="W184" s="260"/>
      <c r="X184" s="260"/>
    </row>
    <row r="185" spans="3:24"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281"/>
      <c r="V185" s="260" t="s">
        <v>1221</v>
      </c>
      <c r="W185" s="260"/>
      <c r="X185" s="260"/>
    </row>
    <row r="186" spans="3:24"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281"/>
      <c r="V186" s="260"/>
      <c r="W186" s="260"/>
      <c r="X186" s="260"/>
    </row>
    <row r="187" spans="3:24"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281"/>
      <c r="V187" s="260"/>
      <c r="W187" s="260"/>
      <c r="X187" s="260"/>
    </row>
    <row r="188" spans="3:24"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281"/>
      <c r="V188" s="260" t="s">
        <v>1221</v>
      </c>
      <c r="W188" s="260"/>
      <c r="X188" s="260"/>
    </row>
    <row r="189" spans="3:24"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281"/>
      <c r="V189" s="260"/>
      <c r="W189" s="260"/>
      <c r="X189" s="260"/>
    </row>
    <row r="190" spans="3:24"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283"/>
      <c r="V190" s="260"/>
      <c r="W190" s="260"/>
      <c r="X190" s="260"/>
    </row>
    <row r="191" spans="3:24" ht="18" customHeight="1" x14ac:dyDescent="0.3">
      <c r="C191" s="275"/>
      <c r="D191" s="282"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283" t="s">
        <v>1185</v>
      </c>
      <c r="V191" s="260" t="s">
        <v>1216</v>
      </c>
      <c r="W191" s="260"/>
      <c r="X191" s="260"/>
    </row>
    <row r="192" spans="3:24"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283"/>
      <c r="V192" s="260"/>
      <c r="W192" s="260"/>
      <c r="X192" s="260"/>
    </row>
    <row r="193" spans="3:24"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283"/>
      <c r="V193" s="260"/>
      <c r="W193" s="260"/>
      <c r="X193" s="260"/>
    </row>
    <row r="194" spans="3:24"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283"/>
      <c r="V194" s="260"/>
      <c r="W194" s="260"/>
      <c r="X194" s="260"/>
    </row>
    <row r="195" spans="3:24"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283"/>
      <c r="V195" s="260"/>
      <c r="W195" s="260"/>
      <c r="X195" s="260"/>
    </row>
    <row r="196" spans="3:24"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283"/>
      <c r="V196" s="260"/>
      <c r="W196" s="260"/>
      <c r="X196" s="260"/>
    </row>
    <row r="197" spans="3:24" ht="18" customHeight="1" x14ac:dyDescent="0.3">
      <c r="C197" s="275"/>
      <c r="D197" s="270"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281"/>
      <c r="V197" s="260"/>
      <c r="W197" s="260"/>
      <c r="X197" s="260"/>
    </row>
    <row r="198" spans="3:24" ht="18" customHeight="1" x14ac:dyDescent="0.3">
      <c r="C198" s="275"/>
      <c r="D198" s="280"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281"/>
      <c r="V198" s="260"/>
      <c r="W198" s="260"/>
      <c r="X198" s="260"/>
    </row>
    <row r="199" spans="3:24"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281"/>
      <c r="V199" s="260"/>
      <c r="W199" s="260"/>
      <c r="X199" s="260"/>
    </row>
    <row r="200" spans="3:24"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281"/>
      <c r="V200" s="260"/>
      <c r="W200" s="260"/>
      <c r="X200" s="260"/>
    </row>
    <row r="201" spans="3:24"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268"/>
      <c r="V201" s="260"/>
      <c r="W201" s="260"/>
      <c r="X201" s="260"/>
    </row>
    <row r="202" spans="3:24"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268"/>
      <c r="V202" s="260"/>
      <c r="W202" s="260"/>
      <c r="X202" s="260"/>
    </row>
    <row r="203" spans="3:24"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268"/>
      <c r="V203" s="260" t="s">
        <v>1208</v>
      </c>
      <c r="W203" s="260"/>
      <c r="X203" s="260"/>
    </row>
    <row r="204" spans="3:24"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268"/>
      <c r="V204" s="260"/>
      <c r="W204" s="260"/>
      <c r="X204" s="260"/>
    </row>
    <row r="205" spans="3:24"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268"/>
      <c r="V205" s="260"/>
      <c r="W205" s="260"/>
      <c r="X205" s="260"/>
    </row>
    <row r="206" spans="3:24"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268"/>
      <c r="V206" s="260"/>
      <c r="W206" s="260"/>
      <c r="X206" s="260"/>
    </row>
    <row r="207" spans="3:24"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268"/>
      <c r="V207" s="260"/>
      <c r="W207" s="260"/>
      <c r="X207" s="260"/>
    </row>
    <row r="208" spans="3:24"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268"/>
      <c r="V208" s="260"/>
      <c r="W208" s="260"/>
      <c r="X208" s="260"/>
    </row>
    <row r="209" spans="3:24"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268"/>
      <c r="V209" s="260"/>
      <c r="W209" s="260"/>
      <c r="X209" s="260"/>
    </row>
    <row r="210" spans="3:24"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268"/>
      <c r="V210" s="260"/>
      <c r="W210" s="260"/>
      <c r="X210" s="260"/>
    </row>
    <row r="211" spans="3:24"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268"/>
      <c r="V211" s="260"/>
      <c r="W211" s="260"/>
      <c r="X211" s="260"/>
    </row>
    <row r="212" spans="3:24"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268"/>
      <c r="V212" s="260"/>
      <c r="W212" s="260"/>
      <c r="X212" s="260"/>
    </row>
    <row r="213" spans="3:24"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268"/>
      <c r="V213" s="260"/>
      <c r="W213" s="260"/>
      <c r="X213" s="260"/>
    </row>
    <row r="214" spans="3:24"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268"/>
      <c r="V214" s="260"/>
      <c r="W214" s="260"/>
      <c r="X214" s="260"/>
    </row>
    <row r="215" spans="3:24"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268"/>
      <c r="V215" s="260"/>
      <c r="W215" s="260"/>
      <c r="X215" s="260"/>
    </row>
    <row r="216" spans="3:24"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268"/>
      <c r="V216" s="260" t="s">
        <v>1191</v>
      </c>
      <c r="W216" s="260"/>
      <c r="X216" s="260"/>
    </row>
    <row r="217" spans="3:24"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268"/>
      <c r="V217" s="260"/>
      <c r="W217" s="260"/>
      <c r="X217" s="260"/>
    </row>
    <row r="218" spans="3:24"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268"/>
      <c r="V218" s="260"/>
      <c r="W218" s="260"/>
      <c r="X218" s="260"/>
    </row>
    <row r="219" spans="3:24"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268"/>
      <c r="V219" s="260" t="s">
        <v>1191</v>
      </c>
      <c r="W219" s="260"/>
      <c r="X219" s="260"/>
    </row>
    <row r="220" spans="3:24"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268"/>
      <c r="V220" s="260"/>
      <c r="W220" s="260"/>
      <c r="X220" s="260"/>
    </row>
    <row r="221" spans="3:24"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268"/>
      <c r="V221" s="260"/>
      <c r="W221" s="260"/>
      <c r="X221" s="260"/>
    </row>
    <row r="222" spans="3:24"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268"/>
      <c r="V222" s="260"/>
      <c r="W222" s="260"/>
      <c r="X222" s="260"/>
    </row>
    <row r="223" spans="3:24"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268"/>
      <c r="V223" s="260" t="s">
        <v>1191</v>
      </c>
      <c r="W223" s="260"/>
      <c r="X223" s="260"/>
    </row>
    <row r="224" spans="3:24"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268" t="s">
        <v>1185</v>
      </c>
      <c r="V224" s="260" t="s">
        <v>1190</v>
      </c>
      <c r="W224" s="260"/>
      <c r="X224" s="260"/>
    </row>
    <row r="225" spans="3:24"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268" t="s">
        <v>1185</v>
      </c>
      <c r="V225" s="260" t="s">
        <v>1190</v>
      </c>
      <c r="W225" s="260"/>
      <c r="X225" s="260"/>
    </row>
    <row r="226" spans="3:24"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268" t="s">
        <v>1185</v>
      </c>
      <c r="V226" s="260" t="s">
        <v>1190</v>
      </c>
      <c r="W226" s="260"/>
      <c r="X226" s="260"/>
    </row>
    <row r="227" spans="3:24"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268" t="s">
        <v>1185</v>
      </c>
      <c r="V227" s="260" t="s">
        <v>1190</v>
      </c>
      <c r="W227" s="260"/>
      <c r="X227" s="260"/>
    </row>
    <row r="228" spans="3:24"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268" t="s">
        <v>1185</v>
      </c>
      <c r="V228" s="260" t="s">
        <v>1190</v>
      </c>
      <c r="W228" s="260"/>
      <c r="X228" s="260"/>
    </row>
    <row r="229" spans="3:24"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268" t="s">
        <v>1185</v>
      </c>
      <c r="V229" s="260"/>
      <c r="W229" s="260"/>
      <c r="X229" s="260"/>
    </row>
    <row r="230" spans="3:24"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268" t="s">
        <v>1185</v>
      </c>
      <c r="V230" s="260"/>
      <c r="W230" s="260"/>
      <c r="X230" s="260"/>
    </row>
    <row r="231" spans="3:24"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268" t="s">
        <v>1185</v>
      </c>
      <c r="V231" s="260"/>
      <c r="W231" s="260"/>
      <c r="X231" s="260"/>
    </row>
    <row r="232" spans="3:24"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262"/>
      <c r="V232" s="260"/>
      <c r="W232" s="260"/>
      <c r="X232" s="260"/>
    </row>
  </sheetData>
  <conditionalFormatting sqref="J33:J37">
    <cfRule type="cellIs" dxfId="652" priority="62" operator="equal">
      <formula>0</formula>
    </cfRule>
  </conditionalFormatting>
  <conditionalFormatting sqref="E203">
    <cfRule type="cellIs" dxfId="651" priority="56" operator="equal">
      <formula>0</formula>
    </cfRule>
  </conditionalFormatting>
  <conditionalFormatting sqref="E204">
    <cfRule type="cellIs" dxfId="650" priority="55" operator="equal">
      <formula>0</formula>
    </cfRule>
  </conditionalFormatting>
  <conditionalFormatting sqref="E205">
    <cfRule type="cellIs" dxfId="649" priority="54" operator="equal">
      <formula>0</formula>
    </cfRule>
  </conditionalFormatting>
  <conditionalFormatting sqref="E207">
    <cfRule type="cellIs" dxfId="648" priority="53" operator="equal">
      <formula>0</formula>
    </cfRule>
  </conditionalFormatting>
  <conditionalFormatting sqref="E206">
    <cfRule type="cellIs" dxfId="647" priority="52" operator="equal">
      <formula>0</formula>
    </cfRule>
  </conditionalFormatting>
  <conditionalFormatting sqref="H163:H167">
    <cfRule type="cellIs" priority="51" operator="equal">
      <formula>0</formula>
    </cfRule>
  </conditionalFormatting>
  <conditionalFormatting sqref="E209">
    <cfRule type="cellIs" dxfId="646" priority="48" operator="equal">
      <formula>0</formula>
    </cfRule>
  </conditionalFormatting>
  <conditionalFormatting sqref="E208">
    <cfRule type="cellIs" priority="49" operator="equal">
      <formula>0</formula>
    </cfRule>
  </conditionalFormatting>
  <conditionalFormatting sqref="E210">
    <cfRule type="cellIs" dxfId="645" priority="46" operator="equal">
      <formula>0</formula>
    </cfRule>
    <cfRule type="cellIs" dxfId="644" priority="47" operator="equal">
      <formula>0</formula>
    </cfRule>
  </conditionalFormatting>
  <conditionalFormatting sqref="E212">
    <cfRule type="cellIs" priority="45" operator="equal">
      <formula>0</formula>
    </cfRule>
  </conditionalFormatting>
  <conditionalFormatting sqref="F160">
    <cfRule type="cellIs" dxfId="643" priority="40" operator="equal">
      <formula>0</formula>
    </cfRule>
  </conditionalFormatting>
  <conditionalFormatting sqref="F157:H157 G158:H161">
    <cfRule type="cellIs" dxfId="642" priority="44" operator="equal">
      <formula>0</formula>
    </cfRule>
  </conditionalFormatting>
  <conditionalFormatting sqref="F158">
    <cfRule type="cellIs" dxfId="641" priority="43" operator="equal">
      <formula>0</formula>
    </cfRule>
  </conditionalFormatting>
  <conditionalFormatting sqref="F159">
    <cfRule type="cellIs" dxfId="640" priority="42" operator="equal">
      <formula>0</formula>
    </cfRule>
  </conditionalFormatting>
  <conditionalFormatting sqref="F161">
    <cfRule type="cellIs" dxfId="639" priority="39" operator="equal">
      <formula>0</formula>
    </cfRule>
  </conditionalFormatting>
  <conditionalFormatting sqref="E157">
    <cfRule type="cellIs" dxfId="638" priority="38" operator="equal">
      <formula>0</formula>
    </cfRule>
  </conditionalFormatting>
  <conditionalFormatting sqref="E158">
    <cfRule type="cellIs" dxfId="637" priority="37" operator="equal">
      <formula>0</formula>
    </cfRule>
  </conditionalFormatting>
  <conditionalFormatting sqref="E159">
    <cfRule type="cellIs" dxfId="636" priority="36" operator="equal">
      <formula>0</formula>
    </cfRule>
  </conditionalFormatting>
  <conditionalFormatting sqref="E161">
    <cfRule type="cellIs" dxfId="635" priority="35" operator="equal">
      <formula>0</formula>
    </cfRule>
  </conditionalFormatting>
  <conditionalFormatting sqref="E160">
    <cfRule type="cellIs" dxfId="634" priority="34" operator="equal">
      <formula>0</formula>
    </cfRule>
  </conditionalFormatting>
  <conditionalFormatting sqref="F163">
    <cfRule type="cellIs" dxfId="633" priority="32" operator="equal">
      <formula>0</formula>
    </cfRule>
  </conditionalFormatting>
  <conditionalFormatting sqref="F162:H162 G163:G167">
    <cfRule type="cellIs" priority="33" operator="equal">
      <formula>0</formula>
    </cfRule>
  </conditionalFormatting>
  <conditionalFormatting sqref="F164">
    <cfRule type="cellIs" dxfId="632" priority="30" operator="equal">
      <formula>0</formula>
    </cfRule>
    <cfRule type="cellIs" dxfId="631" priority="31" operator="equal">
      <formula>0</formula>
    </cfRule>
  </conditionalFormatting>
  <conditionalFormatting sqref="E163">
    <cfRule type="cellIs" dxfId="630" priority="28" operator="equal">
      <formula>0</formula>
    </cfRule>
  </conditionalFormatting>
  <conditionalFormatting sqref="E162">
    <cfRule type="cellIs" priority="29" operator="equal">
      <formula>0</formula>
    </cfRule>
  </conditionalFormatting>
  <conditionalFormatting sqref="E164">
    <cfRule type="cellIs" dxfId="629" priority="26" operator="equal">
      <formula>0</formula>
    </cfRule>
    <cfRule type="cellIs" dxfId="628" priority="27" operator="equal">
      <formula>0</formula>
    </cfRule>
  </conditionalFormatting>
  <conditionalFormatting sqref="F165:F166">
    <cfRule type="cellIs" priority="25" operator="equal">
      <formula>0</formula>
    </cfRule>
  </conditionalFormatting>
  <conditionalFormatting sqref="E165:E166">
    <cfRule type="cellIs" priority="24" operator="equal">
      <formula>0</formula>
    </cfRule>
  </conditionalFormatting>
  <conditionalFormatting sqref="N157">
    <cfRule type="cellIs" dxfId="627" priority="23" operator="equal">
      <formula>0</formula>
    </cfRule>
  </conditionalFormatting>
  <conditionalFormatting sqref="N158">
    <cfRule type="cellIs" dxfId="626" priority="22" operator="equal">
      <formula>0</formula>
    </cfRule>
  </conditionalFormatting>
  <conditionalFormatting sqref="N159">
    <cfRule type="cellIs" dxfId="625" priority="21" operator="equal">
      <formula>0</formula>
    </cfRule>
  </conditionalFormatting>
  <conditionalFormatting sqref="N160">
    <cfRule type="cellIs" dxfId="624" priority="20" operator="equal">
      <formula>0</formula>
    </cfRule>
  </conditionalFormatting>
  <conditionalFormatting sqref="N162">
    <cfRule type="cellIs" priority="19" operator="equal">
      <formula>0</formula>
    </cfRule>
  </conditionalFormatting>
  <conditionalFormatting sqref="N163">
    <cfRule type="cellIs" dxfId="623" priority="18" operator="equal">
      <formula>0</formula>
    </cfRule>
  </conditionalFormatting>
  <conditionalFormatting sqref="N164:N166">
    <cfRule type="cellIs" dxfId="622" priority="16" operator="equal">
      <formula>0</formula>
    </cfRule>
    <cfRule type="cellIs" dxfId="621" priority="17" operator="equal">
      <formula>0</formula>
    </cfRule>
  </conditionalFormatting>
  <conditionalFormatting sqref="L157:L159">
    <cfRule type="cellIs" dxfId="620" priority="15" operator="equal">
      <formula>0</formula>
    </cfRule>
  </conditionalFormatting>
  <conditionalFormatting sqref="L157">
    <cfRule type="cellIs" dxfId="619" priority="14" operator="equal">
      <formula>0</formula>
    </cfRule>
  </conditionalFormatting>
  <conditionalFormatting sqref="L158">
    <cfRule type="cellIs" dxfId="618" priority="13" operator="equal">
      <formula>0</formula>
    </cfRule>
  </conditionalFormatting>
  <conditionalFormatting sqref="L159">
    <cfRule type="cellIs" dxfId="617" priority="12" operator="equal">
      <formula>0</formula>
    </cfRule>
  </conditionalFormatting>
  <conditionalFormatting sqref="L160:L161">
    <cfRule type="cellIs" dxfId="616" priority="11" operator="equal">
      <formula>0</formula>
    </cfRule>
  </conditionalFormatting>
  <conditionalFormatting sqref="L160">
    <cfRule type="cellIs" dxfId="615" priority="10" operator="equal">
      <formula>0</formula>
    </cfRule>
  </conditionalFormatting>
  <conditionalFormatting sqref="L161">
    <cfRule type="cellIs" dxfId="614" priority="9" operator="equal">
      <formula>0</formula>
    </cfRule>
  </conditionalFormatting>
  <conditionalFormatting sqref="L166">
    <cfRule type="cellIs" dxfId="613" priority="8" operator="equal">
      <formula>0</formula>
    </cfRule>
  </conditionalFormatting>
  <conditionalFormatting sqref="L167">
    <cfRule type="cellIs" dxfId="612" priority="7" operator="equal">
      <formula>0</formula>
    </cfRule>
  </conditionalFormatting>
  <conditionalFormatting sqref="L165:L166">
    <cfRule type="cellIs" dxfId="611" priority="6" operator="equal">
      <formula>0</formula>
    </cfRule>
  </conditionalFormatting>
  <conditionalFormatting sqref="L165:L166">
    <cfRule type="cellIs" priority="5" operator="equal">
      <formula>0</formula>
    </cfRule>
  </conditionalFormatting>
  <conditionalFormatting sqref="O160">
    <cfRule type="cellIs" dxfId="610" priority="4"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91C0-A418-4EBA-BDC4-F009F416C3FD}">
  <dimension ref="C1:X232"/>
  <sheetViews>
    <sheetView topLeftCell="A40" workbookViewId="0">
      <selection activeCell="E58" sqref="E58"/>
    </sheetView>
  </sheetViews>
  <sheetFormatPr defaultColWidth="8.88671875" defaultRowHeight="14.4" x14ac:dyDescent="0.3"/>
  <cols>
    <col min="1" max="1" width="8.88671875" style="257"/>
    <col min="2" max="2" width="8.88671875" style="257" customWidth="1"/>
    <col min="3" max="3" width="29.33203125" style="257" customWidth="1"/>
    <col min="4" max="4" width="42.109375" style="257" customWidth="1"/>
    <col min="5" max="5" width="22" style="261" customWidth="1"/>
    <col min="6" max="6" width="48.88671875" style="257" customWidth="1"/>
    <col min="7" max="8" width="17.44140625" style="257" customWidth="1"/>
    <col min="9" max="9" width="9.88671875" style="257" customWidth="1"/>
    <col min="10" max="10" width="11.6640625" style="257" customWidth="1"/>
    <col min="11" max="11" width="15.33203125" style="257" customWidth="1"/>
    <col min="12" max="12" width="39.33203125" style="261" customWidth="1"/>
    <col min="13" max="13" width="34.44140625" style="260" customWidth="1"/>
    <col min="14" max="14" width="27.5546875" style="260" customWidth="1"/>
    <col min="15" max="15" width="27.109375" style="260" customWidth="1"/>
    <col min="16" max="16" width="16.21875" style="259" customWidth="1"/>
    <col min="17" max="17" width="13.77734375" style="257" customWidth="1"/>
    <col min="18" max="18" width="12.88671875" style="258" customWidth="1"/>
    <col min="19" max="19" width="13.21875" style="258" customWidth="1"/>
    <col min="20" max="20" width="14.6640625" style="258" customWidth="1"/>
    <col min="21" max="21" width="26.109375" style="257" customWidth="1"/>
    <col min="22" max="22" width="19.6640625" style="257" customWidth="1"/>
    <col min="23" max="23" width="16.6640625" style="257" customWidth="1"/>
    <col min="24" max="24" width="24.6640625" style="257" customWidth="1"/>
    <col min="25" max="16384" width="8.88671875" style="257"/>
  </cols>
  <sheetData>
    <row r="1" spans="3:23" ht="33.6" x14ac:dyDescent="0.3">
      <c r="C1" s="399" t="s">
        <v>1168</v>
      </c>
    </row>
    <row r="2" spans="3:23" ht="19.2" x14ac:dyDescent="0.3">
      <c r="C2" s="251" t="s">
        <v>1506</v>
      </c>
    </row>
    <row r="3" spans="3:23" ht="15" thickBot="1" x14ac:dyDescent="0.35"/>
    <row r="4" spans="3:23" ht="15.6" x14ac:dyDescent="0.3">
      <c r="C4" s="398" t="s">
        <v>1475</v>
      </c>
      <c r="D4" s="397" t="s">
        <v>1505</v>
      </c>
    </row>
    <row r="5" spans="3:23" x14ac:dyDescent="0.3">
      <c r="C5" s="396" t="s">
        <v>1504</v>
      </c>
      <c r="D5" s="392" t="s">
        <v>51</v>
      </c>
    </row>
    <row r="6" spans="3:23" ht="15.6" x14ac:dyDescent="0.3">
      <c r="C6" s="395" t="s">
        <v>1503</v>
      </c>
      <c r="D6" s="392" t="s">
        <v>27</v>
      </c>
      <c r="F6" s="394"/>
      <c r="P6" s="260"/>
      <c r="Q6" s="260"/>
      <c r="R6" s="260"/>
      <c r="S6" s="260"/>
      <c r="T6" s="260"/>
      <c r="U6" s="260"/>
      <c r="V6" s="260"/>
      <c r="W6" s="260"/>
    </row>
    <row r="7" spans="3:23" ht="15" x14ac:dyDescent="0.3">
      <c r="C7" s="393" t="s">
        <v>1502</v>
      </c>
      <c r="D7" s="392" t="s">
        <v>12</v>
      </c>
      <c r="M7" s="370"/>
      <c r="P7" s="260"/>
      <c r="Q7" s="260"/>
      <c r="R7" s="260"/>
      <c r="S7" s="260"/>
      <c r="T7" s="260"/>
      <c r="U7" s="260"/>
      <c r="V7" s="260"/>
      <c r="W7" s="260"/>
    </row>
    <row r="8" spans="3:23" ht="14.4" customHeight="1" thickBot="1" x14ac:dyDescent="0.35">
      <c r="C8" s="391" t="s">
        <v>1189</v>
      </c>
      <c r="D8" s="390" t="s">
        <v>1501</v>
      </c>
      <c r="P8" s="260"/>
      <c r="Q8" s="260"/>
      <c r="R8" s="260"/>
      <c r="S8" s="260"/>
      <c r="T8" s="260"/>
      <c r="U8" s="260"/>
      <c r="V8" s="260"/>
      <c r="W8" s="260"/>
    </row>
    <row r="9" spans="3:23" ht="12" customHeight="1" x14ac:dyDescent="0.3">
      <c r="C9" s="261" t="s">
        <v>1500</v>
      </c>
      <c r="D9" s="368" t="s">
        <v>1499</v>
      </c>
      <c r="P9" s="260"/>
      <c r="Q9" s="260"/>
      <c r="R9" s="260"/>
      <c r="S9" s="260"/>
      <c r="T9" s="260"/>
      <c r="U9" s="260"/>
      <c r="V9" s="260"/>
      <c r="W9" s="260"/>
    </row>
    <row r="10" spans="3:23" ht="12" customHeight="1" x14ac:dyDescent="0.3">
      <c r="C10" s="261" t="s">
        <v>1498</v>
      </c>
      <c r="D10" s="368" t="s">
        <v>1497</v>
      </c>
      <c r="P10" s="260"/>
      <c r="Q10" s="260"/>
      <c r="R10" s="260"/>
      <c r="S10" s="260"/>
      <c r="T10" s="260"/>
      <c r="U10" s="260"/>
      <c r="V10" s="260"/>
      <c r="W10" s="260"/>
    </row>
    <row r="11" spans="3:23" ht="16.95" customHeight="1" thickBot="1" x14ac:dyDescent="0.35">
      <c r="D11" s="368"/>
      <c r="P11" s="260"/>
      <c r="Q11" s="260"/>
      <c r="R11" s="260"/>
      <c r="S11" s="260"/>
      <c r="T11" s="260"/>
      <c r="U11" s="260"/>
      <c r="V11" s="260"/>
      <c r="W11" s="260"/>
    </row>
    <row r="12" spans="3:23" ht="16.2" thickTop="1" x14ac:dyDescent="0.3">
      <c r="C12" s="381" t="s">
        <v>1496</v>
      </c>
      <c r="D12" s="380" t="s">
        <v>1495</v>
      </c>
      <c r="P12" s="260"/>
      <c r="Q12" s="260"/>
      <c r="R12" s="260"/>
      <c r="S12" s="260"/>
      <c r="T12" s="260"/>
      <c r="U12" s="260"/>
      <c r="V12" s="260"/>
      <c r="W12" s="260"/>
    </row>
    <row r="13" spans="3:23" x14ac:dyDescent="0.3">
      <c r="C13" s="389" t="s">
        <v>1165</v>
      </c>
      <c r="D13" s="378" t="s">
        <v>1494</v>
      </c>
      <c r="P13" s="260"/>
      <c r="Q13" s="260"/>
      <c r="R13" s="260"/>
      <c r="S13" s="260"/>
      <c r="T13" s="260"/>
      <c r="U13" s="260"/>
      <c r="V13" s="260"/>
      <c r="W13" s="260"/>
    </row>
    <row r="14" spans="3:23" x14ac:dyDescent="0.3">
      <c r="C14" s="387" t="s">
        <v>26</v>
      </c>
      <c r="D14" s="388" t="s">
        <v>1493</v>
      </c>
      <c r="P14" s="260"/>
      <c r="Q14" s="260"/>
      <c r="R14" s="260"/>
      <c r="S14" s="260"/>
      <c r="T14" s="260"/>
      <c r="U14" s="260"/>
      <c r="V14" s="260"/>
      <c r="W14" s="260"/>
    </row>
    <row r="15" spans="3:23" x14ac:dyDescent="0.3">
      <c r="C15" s="387" t="s">
        <v>18</v>
      </c>
      <c r="D15" s="386" t="s">
        <v>1492</v>
      </c>
      <c r="P15" s="260"/>
      <c r="Q15" s="260"/>
      <c r="R15" s="260"/>
      <c r="S15" s="260"/>
      <c r="T15" s="260"/>
      <c r="U15" s="260"/>
      <c r="V15" s="260"/>
      <c r="W15" s="260"/>
    </row>
    <row r="16" spans="3:23" x14ac:dyDescent="0.3">
      <c r="C16" s="385" t="s">
        <v>11</v>
      </c>
      <c r="D16" s="384" t="s">
        <v>1491</v>
      </c>
      <c r="P16" s="260"/>
      <c r="Q16" s="260"/>
      <c r="R16" s="260"/>
      <c r="S16" s="260"/>
      <c r="T16" s="260"/>
      <c r="U16" s="260"/>
      <c r="V16" s="260"/>
      <c r="W16" s="260"/>
    </row>
    <row r="17" spans="3:24" ht="15" thickBot="1" x14ac:dyDescent="0.35">
      <c r="C17" s="383" t="s">
        <v>1490</v>
      </c>
      <c r="D17" s="382" t="s">
        <v>1489</v>
      </c>
      <c r="P17" s="260"/>
      <c r="Q17" s="260"/>
      <c r="R17" s="260"/>
      <c r="S17" s="260"/>
      <c r="T17" s="260"/>
      <c r="U17" s="260"/>
      <c r="V17" s="260"/>
      <c r="W17" s="260"/>
    </row>
    <row r="18" spans="3:24" ht="15.6" thickTop="1" thickBot="1" x14ac:dyDescent="0.35">
      <c r="D18" s="368"/>
      <c r="P18" s="260"/>
      <c r="Q18" s="260"/>
      <c r="R18" s="260"/>
      <c r="S18" s="260"/>
      <c r="T18" s="260"/>
      <c r="U18" s="260"/>
      <c r="V18" s="260"/>
      <c r="W18" s="260"/>
    </row>
    <row r="19" spans="3:24" ht="16.2" thickTop="1" x14ac:dyDescent="0.3">
      <c r="C19" s="381" t="s">
        <v>1488</v>
      </c>
      <c r="D19" s="380" t="s">
        <v>1487</v>
      </c>
      <c r="P19" s="260"/>
      <c r="Q19" s="260"/>
      <c r="R19" s="260"/>
      <c r="S19" s="260"/>
      <c r="T19" s="260"/>
      <c r="U19" s="260"/>
      <c r="V19" s="260"/>
      <c r="W19" s="260"/>
    </row>
    <row r="20" spans="3:24" ht="20.399999999999999" customHeight="1" x14ac:dyDescent="0.3">
      <c r="C20" s="379" t="s">
        <v>1186</v>
      </c>
      <c r="D20" s="378" t="s">
        <v>1486</v>
      </c>
      <c r="P20" s="260"/>
      <c r="Q20" s="260"/>
      <c r="R20" s="260"/>
      <c r="S20" s="260"/>
      <c r="T20" s="260"/>
      <c r="U20" s="260"/>
      <c r="V20" s="260"/>
      <c r="W20" s="260"/>
    </row>
    <row r="21" spans="3:24" ht="15" customHeight="1" x14ac:dyDescent="0.3">
      <c r="C21" s="377" t="s">
        <v>1187</v>
      </c>
      <c r="D21" s="376" t="s">
        <v>1485</v>
      </c>
    </row>
    <row r="22" spans="3:24" ht="15" customHeight="1" x14ac:dyDescent="0.3">
      <c r="C22" s="375" t="s">
        <v>1274</v>
      </c>
      <c r="D22" s="374" t="s">
        <v>1484</v>
      </c>
    </row>
    <row r="23" spans="3:24" ht="15" customHeight="1" thickBot="1" x14ac:dyDescent="0.35">
      <c r="C23" s="373" t="s">
        <v>1432</v>
      </c>
      <c r="D23" s="372" t="s">
        <v>1483</v>
      </c>
    </row>
    <row r="24" spans="3:24" ht="15" thickTop="1" x14ac:dyDescent="0.3">
      <c r="C24" s="261"/>
      <c r="D24" s="15"/>
    </row>
    <row r="25" spans="3:24" x14ac:dyDescent="0.3">
      <c r="C25" s="261"/>
      <c r="D25" s="15"/>
    </row>
    <row r="26" spans="3:24" ht="15.6" x14ac:dyDescent="0.3">
      <c r="C26" s="371" t="s">
        <v>1482</v>
      </c>
      <c r="D26" s="15"/>
    </row>
    <row r="27" spans="3:24" ht="15" x14ac:dyDescent="0.3">
      <c r="C27" s="370" t="s">
        <v>1481</v>
      </c>
      <c r="D27" s="15"/>
    </row>
    <row r="28" spans="3:24" x14ac:dyDescent="0.3">
      <c r="C28" s="369" t="s">
        <v>1480</v>
      </c>
      <c r="D28" s="15"/>
    </row>
    <row r="29" spans="3:24" x14ac:dyDescent="0.3">
      <c r="C29" s="369" t="s">
        <v>1479</v>
      </c>
      <c r="D29" s="15"/>
    </row>
    <row r="30" spans="3:24" x14ac:dyDescent="0.3">
      <c r="C30" s="369" t="s">
        <v>1478</v>
      </c>
      <c r="D30" s="15"/>
    </row>
    <row r="31" spans="3:24" ht="15" thickBot="1" x14ac:dyDescent="0.35">
      <c r="C31" s="260" t="s">
        <v>1477</v>
      </c>
      <c r="D31" s="368"/>
    </row>
    <row r="32" spans="3:24" ht="31.8" thickBot="1" x14ac:dyDescent="0.35">
      <c r="C32" s="367" t="s">
        <v>1476</v>
      </c>
      <c r="D32" s="364" t="s">
        <v>1</v>
      </c>
      <c r="E32" s="365" t="s">
        <v>371</v>
      </c>
      <c r="F32" s="364" t="s">
        <v>1577</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2" t="s">
        <v>1470</v>
      </c>
      <c r="V32" s="361" t="s">
        <v>1469</v>
      </c>
      <c r="W32" s="361" t="s">
        <v>1468</v>
      </c>
      <c r="X32" s="361" t="s">
        <v>1467</v>
      </c>
    </row>
    <row r="33" spans="3:24" ht="18"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5" t="s">
        <v>1461</v>
      </c>
      <c r="V33" s="260"/>
      <c r="W33" s="260"/>
      <c r="X33" s="260"/>
    </row>
    <row r="34" spans="3:24" ht="18"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5" t="s">
        <v>1461</v>
      </c>
      <c r="V34" s="260"/>
      <c r="W34" s="260"/>
      <c r="X34" s="260"/>
    </row>
    <row r="35" spans="3:24" ht="18"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5" t="s">
        <v>1461</v>
      </c>
      <c r="V35" s="260"/>
      <c r="W35" s="260"/>
      <c r="X35" s="260"/>
    </row>
    <row r="36" spans="3:24"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349" t="s">
        <v>1459</v>
      </c>
      <c r="V36" s="260"/>
      <c r="W36" s="260"/>
      <c r="X36" s="260"/>
    </row>
    <row r="37" spans="3:24"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355"/>
      <c r="V37" s="260"/>
      <c r="W37" s="260"/>
      <c r="X37" s="260"/>
    </row>
    <row r="38" spans="3:24" ht="18"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1274</v>
      </c>
      <c r="R38" s="350" t="s">
        <v>1274</v>
      </c>
      <c r="S38" s="350" t="s">
        <v>1274</v>
      </c>
      <c r="T38" s="350" t="s">
        <v>1274</v>
      </c>
      <c r="U38" s="355"/>
      <c r="V38" s="260"/>
      <c r="W38" s="260"/>
      <c r="X38" s="260"/>
    </row>
    <row r="39" spans="3:24" s="261" customFormat="1" ht="18"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6" t="s">
        <v>1435</v>
      </c>
      <c r="R39" s="356" t="s">
        <v>1435</v>
      </c>
      <c r="S39" s="356" t="s">
        <v>1435</v>
      </c>
      <c r="T39" s="356" t="s">
        <v>1435</v>
      </c>
      <c r="U39" s="349"/>
    </row>
    <row r="40" spans="3:24" ht="1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6" t="s">
        <v>1435</v>
      </c>
      <c r="R40" s="356" t="s">
        <v>1435</v>
      </c>
      <c r="S40" s="356" t="s">
        <v>1435</v>
      </c>
      <c r="T40" s="356" t="s">
        <v>1435</v>
      </c>
      <c r="U40" s="355"/>
      <c r="V40" s="260"/>
      <c r="W40" s="260"/>
      <c r="X40" s="260"/>
    </row>
    <row r="41" spans="3:24" ht="18"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6" t="s">
        <v>1435</v>
      </c>
      <c r="R41" s="356" t="s">
        <v>1435</v>
      </c>
      <c r="S41" s="356" t="s">
        <v>1435</v>
      </c>
      <c r="T41" s="356" t="s">
        <v>1435</v>
      </c>
      <c r="U41" s="355"/>
      <c r="V41" s="260"/>
      <c r="W41" s="260"/>
      <c r="X41" s="260"/>
    </row>
    <row r="42" spans="3:24" ht="18"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8"/>
      <c r="V42" s="260"/>
      <c r="W42" s="260"/>
      <c r="X42" s="260"/>
    </row>
    <row r="43" spans="3:24" ht="18"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8"/>
      <c r="V43" s="260"/>
      <c r="W43" s="260"/>
      <c r="X43" s="260"/>
    </row>
    <row r="44" spans="3:24"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1274</v>
      </c>
      <c r="R44" s="350" t="s">
        <v>1274</v>
      </c>
      <c r="S44" s="350" t="s">
        <v>1274</v>
      </c>
      <c r="T44" s="350" t="s">
        <v>1274</v>
      </c>
      <c r="U44" s="349"/>
      <c r="V44" s="260"/>
      <c r="W44" s="260"/>
      <c r="X44" s="260"/>
    </row>
    <row r="45" spans="3:24" s="260" customFormat="1" ht="18"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6" t="s">
        <v>1435</v>
      </c>
      <c r="R45" s="356" t="s">
        <v>1435</v>
      </c>
      <c r="S45" s="356" t="s">
        <v>1435</v>
      </c>
      <c r="T45" s="356" t="s">
        <v>1435</v>
      </c>
      <c r="U45" s="355"/>
    </row>
    <row r="46" spans="3:24" s="260" customFormat="1" ht="18"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6" t="s">
        <v>1435</v>
      </c>
      <c r="R46" s="356" t="s">
        <v>1435</v>
      </c>
      <c r="S46" s="356" t="s">
        <v>1435</v>
      </c>
      <c r="T46" s="356" t="s">
        <v>1435</v>
      </c>
      <c r="U46" s="355"/>
    </row>
    <row r="47" spans="3:24" s="260" customFormat="1" ht="18"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6" t="s">
        <v>1435</v>
      </c>
      <c r="R47" s="356" t="s">
        <v>1435</v>
      </c>
      <c r="S47" s="356" t="s">
        <v>1435</v>
      </c>
      <c r="T47" s="356" t="s">
        <v>1435</v>
      </c>
      <c r="U47" s="355"/>
    </row>
    <row r="48" spans="3:24" ht="18"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5"/>
      <c r="V48" s="260"/>
      <c r="W48" s="260"/>
      <c r="X48" s="260"/>
    </row>
    <row r="49" spans="3:24" ht="18"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5"/>
      <c r="V49" s="260"/>
      <c r="W49" s="260"/>
      <c r="X49" s="260"/>
    </row>
    <row r="50" spans="3:24" ht="18"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1274</v>
      </c>
      <c r="R50" s="350" t="s">
        <v>1274</v>
      </c>
      <c r="S50" s="350" t="s">
        <v>1274</v>
      </c>
      <c r="T50" s="350" t="s">
        <v>1274</v>
      </c>
      <c r="U50" s="349"/>
      <c r="V50" s="260"/>
      <c r="W50" s="260"/>
      <c r="X50" s="260"/>
    </row>
    <row r="51" spans="3:24" ht="1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311" t="s">
        <v>1428</v>
      </c>
      <c r="V51" s="260"/>
      <c r="W51" s="260"/>
      <c r="X51" s="260"/>
    </row>
    <row r="52" spans="3:24" ht="1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311" t="s">
        <v>1428</v>
      </c>
      <c r="V52" s="260"/>
      <c r="W52" s="260"/>
      <c r="X52" s="260"/>
    </row>
    <row r="53" spans="3:24" ht="18"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311" t="s">
        <v>1423</v>
      </c>
      <c r="V53" s="260"/>
      <c r="W53" s="260"/>
      <c r="X53" s="260" t="s">
        <v>1427</v>
      </c>
    </row>
    <row r="54" spans="3:24" ht="39"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311"/>
      <c r="V54" s="260"/>
      <c r="W54" s="260"/>
      <c r="X54" s="260"/>
    </row>
    <row r="55" spans="3:24"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311" t="s">
        <v>1425</v>
      </c>
      <c r="V55" s="260" t="s">
        <v>1389</v>
      </c>
      <c r="W55" s="260" t="s">
        <v>1303</v>
      </c>
      <c r="X55" s="260" t="s">
        <v>1424</v>
      </c>
    </row>
    <row r="56" spans="3:24"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311" t="s">
        <v>1425</v>
      </c>
      <c r="V56" s="260" t="s">
        <v>1389</v>
      </c>
      <c r="W56" s="260" t="s">
        <v>1303</v>
      </c>
      <c r="X56" s="260" t="s">
        <v>1424</v>
      </c>
    </row>
    <row r="57" spans="3:24"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311" t="s">
        <v>1423</v>
      </c>
      <c r="V57" s="260"/>
      <c r="W57" s="260"/>
      <c r="X57" s="260" t="s">
        <v>1422</v>
      </c>
    </row>
    <row r="58" spans="3:24" ht="18" customHeight="1" x14ac:dyDescent="0.3">
      <c r="C58" s="321"/>
      <c r="D58" s="313" t="s">
        <v>83</v>
      </c>
      <c r="E58" s="279" t="s">
        <v>1529</v>
      </c>
      <c r="F58" s="320" t="s">
        <v>1277</v>
      </c>
      <c r="G58" s="315">
        <v>1</v>
      </c>
      <c r="H58" s="312" t="s">
        <v>1267</v>
      </c>
      <c r="I58" s="312">
        <v>1</v>
      </c>
      <c r="J58" s="314">
        <v>1</v>
      </c>
      <c r="K58" s="314" t="s">
        <v>1421</v>
      </c>
      <c r="L58" s="313" t="s">
        <v>432</v>
      </c>
      <c r="M58" s="312" t="s">
        <v>1420</v>
      </c>
      <c r="N58" s="313" t="s">
        <v>83</v>
      </c>
      <c r="O58" s="312" t="s">
        <v>83</v>
      </c>
      <c r="P58" s="328" t="s">
        <v>1274</v>
      </c>
      <c r="Q58" s="328" t="s">
        <v>1274</v>
      </c>
      <c r="R58" s="328" t="s">
        <v>1274</v>
      </c>
      <c r="S58" s="328" t="s">
        <v>1274</v>
      </c>
      <c r="T58" s="312" t="s">
        <v>1274</v>
      </c>
      <c r="U58" s="311" t="s">
        <v>1419</v>
      </c>
      <c r="V58" s="260" t="s">
        <v>1418</v>
      </c>
      <c r="W58" s="260"/>
      <c r="X58" s="260" t="s">
        <v>1417</v>
      </c>
    </row>
    <row r="59" spans="3:24"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311" t="s">
        <v>1412</v>
      </c>
      <c r="V59" s="260"/>
      <c r="W59" s="260"/>
      <c r="X59" s="260"/>
    </row>
    <row r="60" spans="3:24"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311" t="s">
        <v>1412</v>
      </c>
      <c r="V60" s="260"/>
      <c r="W60" s="260" t="s">
        <v>1415</v>
      </c>
      <c r="X60" s="260"/>
    </row>
    <row r="61" spans="3:24"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311" t="s">
        <v>1412</v>
      </c>
      <c r="V61" s="260" t="s">
        <v>1411</v>
      </c>
      <c r="W61" s="260" t="s">
        <v>1410</v>
      </c>
      <c r="X61" s="260" t="s">
        <v>1404</v>
      </c>
    </row>
    <row r="62" spans="3:24"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311" t="s">
        <v>1408</v>
      </c>
      <c r="V62" s="260"/>
      <c r="W62" s="260" t="s">
        <v>1407</v>
      </c>
      <c r="X62" s="260"/>
    </row>
    <row r="63" spans="3:24" ht="1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311"/>
      <c r="V63" s="260" t="s">
        <v>1406</v>
      </c>
      <c r="W63" s="260" t="s">
        <v>1405</v>
      </c>
      <c r="X63" s="260" t="s">
        <v>1404</v>
      </c>
    </row>
    <row r="64" spans="3:24"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327" t="s">
        <v>1403</v>
      </c>
      <c r="V64" s="260" t="s">
        <v>1389</v>
      </c>
      <c r="W64" s="260" t="s">
        <v>1303</v>
      </c>
      <c r="X64" s="345" t="s">
        <v>1402</v>
      </c>
    </row>
    <row r="65" spans="3:24"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311" t="s">
        <v>1399</v>
      </c>
      <c r="V65" s="260"/>
      <c r="W65" s="260"/>
      <c r="X65" s="260" t="s">
        <v>1398</v>
      </c>
    </row>
    <row r="66" spans="3:24" ht="18" customHeight="1" x14ac:dyDescent="0.3">
      <c r="C66" s="321"/>
      <c r="D66" s="313" t="s">
        <v>101</v>
      </c>
      <c r="E66" s="312" t="s">
        <v>100</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311"/>
      <c r="V66" s="260"/>
      <c r="W66" s="260"/>
      <c r="X66" s="260"/>
    </row>
    <row r="67" spans="3:24"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311"/>
      <c r="V67" s="260"/>
      <c r="W67" s="260"/>
      <c r="X67" s="260"/>
    </row>
    <row r="68" spans="3:24"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311"/>
      <c r="V68" s="260"/>
      <c r="W68" s="260"/>
      <c r="X68" s="260"/>
    </row>
    <row r="69" spans="3:24" ht="18" customHeight="1" x14ac:dyDescent="0.3">
      <c r="C69" s="321"/>
      <c r="D69" s="332" t="s">
        <v>107</v>
      </c>
      <c r="E69" s="312" t="s">
        <v>100</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311"/>
      <c r="V69" s="260"/>
      <c r="W69" s="260"/>
      <c r="X69" s="260"/>
    </row>
    <row r="70" spans="3:24" ht="18" customHeight="1" x14ac:dyDescent="0.3">
      <c r="C70" s="321"/>
      <c r="D70" s="338" t="s">
        <v>109</v>
      </c>
      <c r="E70" s="339" t="s">
        <v>108</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346"/>
      <c r="V70" s="260" t="s">
        <v>1234</v>
      </c>
      <c r="W70" s="260"/>
      <c r="X70" s="260"/>
    </row>
    <row r="71" spans="3:24" ht="18" customHeight="1" x14ac:dyDescent="0.3">
      <c r="C71" s="321"/>
      <c r="D71" s="338" t="s">
        <v>111</v>
      </c>
      <c r="E71" s="339" t="s">
        <v>108</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346"/>
      <c r="V71" s="260" t="s">
        <v>1234</v>
      </c>
      <c r="W71" s="260"/>
      <c r="X71" s="260"/>
    </row>
    <row r="72" spans="3:24" ht="18" customHeight="1" x14ac:dyDescent="0.3">
      <c r="C72" s="321"/>
      <c r="D72" s="338" t="s">
        <v>113</v>
      </c>
      <c r="E72" s="339" t="s">
        <v>108</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346"/>
      <c r="V72" s="260" t="s">
        <v>1234</v>
      </c>
      <c r="W72" s="260"/>
      <c r="X72" s="260"/>
    </row>
    <row r="73" spans="3:24" ht="18" customHeight="1" x14ac:dyDescent="0.3">
      <c r="C73" s="321"/>
      <c r="D73" s="338" t="s">
        <v>115</v>
      </c>
      <c r="E73" s="339" t="s">
        <v>108</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346"/>
      <c r="V73" s="260" t="s">
        <v>1234</v>
      </c>
      <c r="W73" s="260"/>
      <c r="X73" s="260"/>
    </row>
    <row r="74" spans="3:24" ht="18" customHeight="1" x14ac:dyDescent="0.3">
      <c r="C74" s="321"/>
      <c r="D74" s="338" t="s">
        <v>117</v>
      </c>
      <c r="E74" s="339" t="s">
        <v>108</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346"/>
      <c r="V74" s="260" t="s">
        <v>1234</v>
      </c>
      <c r="W74" s="260"/>
      <c r="X74" s="260"/>
    </row>
    <row r="75" spans="3:24"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311"/>
      <c r="V75" s="260" t="s">
        <v>1389</v>
      </c>
      <c r="W75" s="260"/>
      <c r="X75" s="260"/>
    </row>
    <row r="76" spans="3:24"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311"/>
      <c r="V76" s="260" t="s">
        <v>1389</v>
      </c>
      <c r="W76" s="260"/>
      <c r="X76" s="260"/>
    </row>
    <row r="77" spans="3:24"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311"/>
      <c r="V77" s="345" t="s">
        <v>1348</v>
      </c>
      <c r="W77" s="260"/>
      <c r="X77" s="345" t="s">
        <v>1388</v>
      </c>
    </row>
    <row r="78" spans="3:24" ht="18" customHeight="1" x14ac:dyDescent="0.3">
      <c r="C78" s="321"/>
      <c r="D78" s="313" t="s">
        <v>129</v>
      </c>
      <c r="E78" s="312" t="s">
        <v>100</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311"/>
      <c r="V78" s="260"/>
      <c r="W78" s="260" t="s">
        <v>1387</v>
      </c>
      <c r="X78" s="260"/>
    </row>
    <row r="79" spans="3:24" ht="18" customHeight="1" x14ac:dyDescent="0.3">
      <c r="C79" s="321"/>
      <c r="D79" s="338" t="s">
        <v>131</v>
      </c>
      <c r="E79" s="339" t="s">
        <v>108</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335"/>
      <c r="V79" s="345" t="s">
        <v>1348</v>
      </c>
      <c r="W79" s="260"/>
      <c r="X79" s="260"/>
    </row>
    <row r="80" spans="3:24"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335"/>
      <c r="V80" s="260"/>
      <c r="W80" s="260"/>
      <c r="X80" s="260"/>
    </row>
    <row r="81" spans="3:24" ht="18" customHeight="1" x14ac:dyDescent="0.3">
      <c r="C81" s="321"/>
      <c r="D81" s="338" t="s">
        <v>376</v>
      </c>
      <c r="E81" s="339" t="s">
        <v>1148</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335"/>
      <c r="V81" s="260" t="s">
        <v>1348</v>
      </c>
      <c r="W81" s="260"/>
      <c r="X81" s="260"/>
    </row>
    <row r="82" spans="3:24"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327" t="s">
        <v>1384</v>
      </c>
      <c r="V82" s="260" t="s">
        <v>1348</v>
      </c>
      <c r="W82" s="260" t="s">
        <v>1378</v>
      </c>
      <c r="X82" s="260"/>
    </row>
    <row r="83" spans="3:24"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327" t="s">
        <v>1382</v>
      </c>
      <c r="V83" s="260" t="s">
        <v>1348</v>
      </c>
      <c r="W83" s="260" t="s">
        <v>1381</v>
      </c>
      <c r="X83" s="260"/>
    </row>
    <row r="84" spans="3:24"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311"/>
      <c r="V84" s="260"/>
      <c r="W84" s="260"/>
      <c r="X84" s="260"/>
    </row>
    <row r="85" spans="3:24"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311" t="s">
        <v>1379</v>
      </c>
      <c r="V85" s="260" t="s">
        <v>1330</v>
      </c>
      <c r="W85" s="260" t="s">
        <v>1378</v>
      </c>
      <c r="X85" s="260"/>
    </row>
    <row r="86" spans="3:24"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311" t="s">
        <v>1377</v>
      </c>
      <c r="V86" s="260" t="s">
        <v>1376</v>
      </c>
      <c r="W86" s="260" t="s">
        <v>1303</v>
      </c>
      <c r="X86" s="260"/>
    </row>
    <row r="87" spans="3:24"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311"/>
      <c r="V87" s="260"/>
      <c r="W87" s="260"/>
      <c r="X87" s="260"/>
    </row>
    <row r="88" spans="3:24"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311" t="s">
        <v>1374</v>
      </c>
      <c r="V88" s="260" t="s">
        <v>1348</v>
      </c>
      <c r="W88" s="260" t="s">
        <v>1303</v>
      </c>
      <c r="X88" s="260"/>
    </row>
    <row r="89" spans="3:24"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311" t="s">
        <v>1372</v>
      </c>
      <c r="V89" s="260" t="s">
        <v>1330</v>
      </c>
      <c r="W89" s="260" t="s">
        <v>1303</v>
      </c>
      <c r="X89" s="260"/>
    </row>
    <row r="90" spans="3:24"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311"/>
      <c r="V90" s="260"/>
      <c r="W90" s="260"/>
      <c r="X90" s="260"/>
    </row>
    <row r="91" spans="3:24"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311" t="s">
        <v>1370</v>
      </c>
      <c r="V91" s="260"/>
      <c r="W91" s="260"/>
      <c r="X91" s="260"/>
    </row>
    <row r="92" spans="3:24"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327" t="s">
        <v>1367</v>
      </c>
      <c r="V92" s="260"/>
      <c r="W92" s="260" t="s">
        <v>1366</v>
      </c>
      <c r="X92" s="260"/>
    </row>
    <row r="93" spans="3:24"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311"/>
      <c r="V93" s="260" t="s">
        <v>1330</v>
      </c>
      <c r="W93" s="260"/>
      <c r="X93" s="260"/>
    </row>
    <row r="94" spans="3:24"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311"/>
      <c r="V94" s="260" t="s">
        <v>1330</v>
      </c>
      <c r="W94" s="260" t="s">
        <v>1363</v>
      </c>
      <c r="X94" s="260"/>
    </row>
    <row r="95" spans="3:24"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311"/>
      <c r="V95" s="260" t="s">
        <v>1330</v>
      </c>
      <c r="W95" s="260"/>
      <c r="X95" s="260"/>
    </row>
    <row r="96" spans="3:24"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327" t="s">
        <v>1360</v>
      </c>
      <c r="V96" s="260" t="s">
        <v>1330</v>
      </c>
      <c r="W96" s="260" t="s">
        <v>1360</v>
      </c>
      <c r="X96" s="260"/>
    </row>
    <row r="97" spans="3:24"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311"/>
      <c r="V97" s="260" t="s">
        <v>1234</v>
      </c>
      <c r="W97" s="260" t="s">
        <v>1303</v>
      </c>
      <c r="X97" s="260"/>
    </row>
    <row r="98" spans="3:24"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311"/>
      <c r="V98" s="260" t="s">
        <v>1348</v>
      </c>
      <c r="W98" s="260"/>
      <c r="X98" s="260"/>
    </row>
    <row r="99" spans="3:24"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311"/>
      <c r="V99" s="260"/>
      <c r="W99" s="260"/>
      <c r="X99" s="260"/>
    </row>
    <row r="100" spans="3:24"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311"/>
      <c r="V100" s="260" t="s">
        <v>1353</v>
      </c>
      <c r="W100" s="260" t="s">
        <v>1304</v>
      </c>
      <c r="X100" s="260"/>
    </row>
    <row r="101" spans="3:24"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311"/>
      <c r="V101" s="260"/>
      <c r="W101" s="260"/>
      <c r="X101" s="260"/>
    </row>
    <row r="102" spans="3:24"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311"/>
      <c r="V102" s="260" t="s">
        <v>1350</v>
      </c>
      <c r="W102" s="260" t="s">
        <v>1303</v>
      </c>
      <c r="X102" s="260"/>
    </row>
    <row r="103" spans="3:24"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311" t="s">
        <v>1349</v>
      </c>
      <c r="V103" s="260" t="s">
        <v>1348</v>
      </c>
      <c r="W103" s="260" t="s">
        <v>1347</v>
      </c>
      <c r="X103" s="260"/>
    </row>
    <row r="104" spans="3:24"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311"/>
      <c r="V104" s="260" t="s">
        <v>1330</v>
      </c>
      <c r="W104" s="260"/>
      <c r="X104" s="260"/>
    </row>
    <row r="105" spans="3:24"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311"/>
      <c r="V105" s="260" t="s">
        <v>1330</v>
      </c>
      <c r="W105" s="260" t="s">
        <v>1344</v>
      </c>
      <c r="X105" s="260"/>
    </row>
    <row r="106" spans="3:24"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327" t="s">
        <v>1341</v>
      </c>
      <c r="V106" s="260" t="s">
        <v>1340</v>
      </c>
      <c r="W106" s="260" t="s">
        <v>1339</v>
      </c>
      <c r="X106" s="260"/>
    </row>
    <row r="107" spans="3:24" ht="18" customHeight="1" x14ac:dyDescent="0.3">
      <c r="C107" s="317" t="s">
        <v>191</v>
      </c>
      <c r="D107" s="285" t="s">
        <v>192</v>
      </c>
      <c r="E107" s="279" t="s">
        <v>1523</v>
      </c>
      <c r="F107" s="316" t="s">
        <v>1295</v>
      </c>
      <c r="G107" s="410" t="s">
        <v>1530</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327" t="s">
        <v>1336</v>
      </c>
      <c r="V107" s="260" t="s">
        <v>1335</v>
      </c>
      <c r="W107" s="260" t="s">
        <v>1334</v>
      </c>
      <c r="X107" s="260"/>
    </row>
    <row r="108" spans="3:24"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311" t="s">
        <v>1331</v>
      </c>
      <c r="V108" s="260" t="s">
        <v>1330</v>
      </c>
      <c r="W108" s="260" t="s">
        <v>1329</v>
      </c>
      <c r="X108" s="260"/>
    </row>
    <row r="109" spans="3:24"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311"/>
      <c r="V109" s="260" t="s">
        <v>1234</v>
      </c>
      <c r="W109" s="260" t="s">
        <v>1303</v>
      </c>
      <c r="X109" s="260"/>
    </row>
    <row r="110" spans="3:24"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311"/>
      <c r="V110" s="260"/>
      <c r="W110" s="260"/>
      <c r="X110" s="260"/>
    </row>
    <row r="111" spans="3:24"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311"/>
      <c r="V111" s="260" t="s">
        <v>1321</v>
      </c>
      <c r="W111" s="260" t="s">
        <v>1320</v>
      </c>
      <c r="X111" s="260"/>
    </row>
    <row r="112" spans="3:24"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311"/>
      <c r="V112" s="260"/>
      <c r="W112" s="260"/>
      <c r="X112" s="260"/>
    </row>
    <row r="113" spans="3:24"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311"/>
      <c r="V113" s="260"/>
      <c r="W113" s="260"/>
      <c r="X113" s="260"/>
    </row>
    <row r="114" spans="3:24"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311"/>
      <c r="V114" s="260"/>
      <c r="W114" s="260"/>
      <c r="X114" s="260"/>
    </row>
    <row r="115" spans="3:24"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311"/>
      <c r="V115" s="260" t="s">
        <v>1321</v>
      </c>
      <c r="W115" s="260" t="s">
        <v>1320</v>
      </c>
      <c r="X115" s="260"/>
    </row>
    <row r="116" spans="3:24"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311"/>
      <c r="V116" s="260" t="s">
        <v>1321</v>
      </c>
      <c r="W116" s="260" t="s">
        <v>1320</v>
      </c>
      <c r="X116" s="260"/>
    </row>
    <row r="117" spans="3:24"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327" t="s">
        <v>1319</v>
      </c>
      <c r="V117" s="260" t="s">
        <v>1318</v>
      </c>
      <c r="W117" s="260" t="s">
        <v>1318</v>
      </c>
      <c r="X117" s="260"/>
    </row>
    <row r="118" spans="3:24"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327" t="s">
        <v>1319</v>
      </c>
      <c r="V118" s="260" t="s">
        <v>1318</v>
      </c>
      <c r="W118" s="260" t="s">
        <v>1318</v>
      </c>
      <c r="X118" s="260"/>
    </row>
    <row r="119" spans="3:24"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327" t="s">
        <v>1319</v>
      </c>
      <c r="V119" s="260" t="s">
        <v>1318</v>
      </c>
      <c r="W119" s="260" t="s">
        <v>1318</v>
      </c>
      <c r="X119" s="260"/>
    </row>
    <row r="120" spans="3:24"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311"/>
      <c r="V120" s="260" t="s">
        <v>1316</v>
      </c>
      <c r="W120" s="260" t="s">
        <v>1316</v>
      </c>
      <c r="X120" s="260"/>
    </row>
    <row r="121" spans="3:24"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311" t="s">
        <v>1315</v>
      </c>
      <c r="V121" s="260" t="s">
        <v>1314</v>
      </c>
      <c r="W121" s="260" t="s">
        <v>1313</v>
      </c>
      <c r="X121" s="260"/>
    </row>
    <row r="122" spans="3:24" ht="18" customHeight="1" x14ac:dyDescent="0.3">
      <c r="C122" s="317"/>
      <c r="D122" s="332" t="s">
        <v>1573</v>
      </c>
      <c r="E122" s="330" t="s">
        <v>1574</v>
      </c>
      <c r="F122" s="316" t="s">
        <v>1295</v>
      </c>
      <c r="G122" s="315">
        <v>0</v>
      </c>
      <c r="H122" s="312" t="s">
        <v>1267</v>
      </c>
      <c r="I122" s="312">
        <v>1</v>
      </c>
      <c r="J122" s="314">
        <v>1</v>
      </c>
      <c r="K122" s="314" t="s">
        <v>1310</v>
      </c>
      <c r="L122" s="313" t="s">
        <v>460</v>
      </c>
      <c r="M122" s="312" t="s">
        <v>1312</v>
      </c>
      <c r="N122" s="313" t="s">
        <v>213</v>
      </c>
      <c r="O122" s="312" t="s">
        <v>213</v>
      </c>
      <c r="P122" s="312" t="s">
        <v>1187</v>
      </c>
      <c r="Q122" s="312" t="s">
        <v>1187</v>
      </c>
      <c r="R122" s="312" t="s">
        <v>1187</v>
      </c>
      <c r="S122" s="312" t="s">
        <v>1187</v>
      </c>
      <c r="T122" s="312" t="s">
        <v>1187</v>
      </c>
      <c r="U122" s="311"/>
      <c r="V122" s="260"/>
      <c r="W122" s="260"/>
      <c r="X122" s="260"/>
    </row>
    <row r="123" spans="3:24"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311"/>
      <c r="V123" s="260"/>
      <c r="W123" s="260"/>
      <c r="X123" s="260"/>
    </row>
    <row r="124" spans="3:24"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311"/>
      <c r="V124" s="260"/>
      <c r="W124" s="260"/>
      <c r="X124" s="260"/>
    </row>
    <row r="125" spans="3:24"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311"/>
      <c r="V125" s="260"/>
      <c r="W125" s="260"/>
      <c r="X125" s="260"/>
    </row>
    <row r="126" spans="3:24"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311"/>
      <c r="V126" s="260"/>
      <c r="W126" s="260" t="s">
        <v>1306</v>
      </c>
      <c r="X126" s="260"/>
    </row>
    <row r="127" spans="3:24"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311" t="s">
        <v>1280</v>
      </c>
      <c r="V127" s="260"/>
      <c r="W127" s="260"/>
      <c r="X127" s="260"/>
    </row>
    <row r="128" spans="3:24"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311"/>
      <c r="V128" s="260"/>
      <c r="W128" s="260" t="s">
        <v>1304</v>
      </c>
      <c r="X128" s="260"/>
    </row>
    <row r="129" spans="3:24" ht="18" customHeight="1" x14ac:dyDescent="0.3">
      <c r="C129" s="317"/>
      <c r="D129" s="313" t="s">
        <v>228</v>
      </c>
      <c r="E129" s="312" t="s">
        <v>100</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311"/>
      <c r="V129" s="260"/>
      <c r="W129" s="260" t="s">
        <v>1304</v>
      </c>
      <c r="X129" s="260"/>
    </row>
    <row r="130" spans="3:24" ht="18" customHeight="1" x14ac:dyDescent="0.3">
      <c r="C130" s="317"/>
      <c r="D130" s="313" t="s">
        <v>230</v>
      </c>
      <c r="E130" s="312" t="s">
        <v>100</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311"/>
      <c r="V130" s="260"/>
      <c r="W130" s="260" t="s">
        <v>1304</v>
      </c>
      <c r="X130" s="260"/>
    </row>
    <row r="131" spans="3:24" ht="18" customHeight="1" x14ac:dyDescent="0.3">
      <c r="C131" s="317"/>
      <c r="D131" s="313" t="s">
        <v>232</v>
      </c>
      <c r="E131" s="312" t="s">
        <v>100</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311"/>
      <c r="V131" s="260"/>
      <c r="W131" s="260" t="s">
        <v>1304</v>
      </c>
      <c r="X131" s="260"/>
    </row>
    <row r="132" spans="3:24"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311" t="s">
        <v>1280</v>
      </c>
      <c r="V132" s="260" t="s">
        <v>1303</v>
      </c>
      <c r="W132" s="260" t="s">
        <v>1303</v>
      </c>
      <c r="X132" s="260"/>
    </row>
    <row r="133" spans="3:24" ht="18"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311"/>
      <c r="V133" s="260"/>
      <c r="W133" s="260"/>
      <c r="X133" s="260"/>
    </row>
    <row r="134" spans="3:24" ht="18" customHeight="1" x14ac:dyDescent="0.3">
      <c r="C134" s="317"/>
      <c r="D134" s="332" t="s">
        <v>1301</v>
      </c>
      <c r="E134" s="330" t="s">
        <v>48</v>
      </c>
      <c r="F134" s="320" t="s">
        <v>1277</v>
      </c>
      <c r="G134" s="315">
        <v>0</v>
      </c>
      <c r="H134" s="312" t="s">
        <v>1267</v>
      </c>
      <c r="I134" s="312">
        <v>1</v>
      </c>
      <c r="J134" s="314">
        <v>1</v>
      </c>
      <c r="K134" s="314" t="s">
        <v>1300</v>
      </c>
      <c r="L134" s="313" t="s">
        <v>1575</v>
      </c>
      <c r="M134" s="312" t="s">
        <v>1299</v>
      </c>
      <c r="N134" s="313" t="s">
        <v>889</v>
      </c>
      <c r="O134" s="312" t="s">
        <v>889</v>
      </c>
      <c r="P134" s="312" t="s">
        <v>1187</v>
      </c>
      <c r="Q134" s="312" t="s">
        <v>1187</v>
      </c>
      <c r="R134" s="312" t="s">
        <v>1187</v>
      </c>
      <c r="S134" s="312" t="s">
        <v>1187</v>
      </c>
      <c r="T134" s="312" t="s">
        <v>1187</v>
      </c>
      <c r="U134" s="311"/>
      <c r="V134" s="260"/>
      <c r="W134" s="260"/>
      <c r="X134" s="260"/>
    </row>
    <row r="135" spans="3:24" ht="1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311"/>
      <c r="V135" s="260"/>
      <c r="W135" s="260"/>
      <c r="X135" s="260"/>
    </row>
    <row r="136" spans="3:24" ht="18"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327"/>
      <c r="V136" s="260"/>
      <c r="W136" s="260"/>
      <c r="X136" s="260"/>
    </row>
    <row r="137" spans="3:24"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311" t="s">
        <v>1297</v>
      </c>
      <c r="V137" s="260" t="s">
        <v>1296</v>
      </c>
      <c r="W137" s="260"/>
      <c r="X137" s="260"/>
    </row>
    <row r="138" spans="3:24" ht="18"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311"/>
      <c r="V138" s="260"/>
      <c r="W138" s="260"/>
      <c r="X138" s="260"/>
    </row>
    <row r="139" spans="3:24"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11"/>
      <c r="V139" s="260"/>
      <c r="W139" s="260"/>
      <c r="X139" s="260"/>
    </row>
    <row r="140" spans="3:24"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11"/>
      <c r="V140" s="260"/>
      <c r="W140" s="260"/>
      <c r="X140" s="260"/>
    </row>
    <row r="141" spans="3:24"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11"/>
      <c r="V141" s="260"/>
      <c r="W141" s="260"/>
      <c r="X141" s="260"/>
    </row>
    <row r="142" spans="3:24"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11"/>
      <c r="V142" s="260"/>
      <c r="W142" s="260"/>
      <c r="X142" s="260"/>
    </row>
    <row r="143" spans="3:24"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311"/>
      <c r="V143" s="260"/>
      <c r="W143" s="260"/>
      <c r="X143" s="260"/>
    </row>
    <row r="144" spans="3:24"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311"/>
      <c r="V144" s="260"/>
      <c r="W144" s="260"/>
      <c r="X144" s="260"/>
    </row>
    <row r="145" spans="3:24"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311"/>
      <c r="V145" s="260"/>
      <c r="W145" s="260"/>
      <c r="X145" s="260"/>
    </row>
    <row r="146" spans="3:24"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311"/>
      <c r="V146" s="260"/>
      <c r="W146" s="260"/>
      <c r="X146" s="260"/>
    </row>
    <row r="147" spans="3:24"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311" t="s">
        <v>1280</v>
      </c>
      <c r="V147" s="260"/>
      <c r="W147" s="260"/>
      <c r="X147" s="260"/>
    </row>
    <row r="148" spans="3:24"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311" t="s">
        <v>1280</v>
      </c>
      <c r="V148" s="260"/>
      <c r="W148" s="260"/>
      <c r="X148" s="260"/>
    </row>
    <row r="149" spans="3:24"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311" t="s">
        <v>1280</v>
      </c>
      <c r="V149" s="260"/>
      <c r="W149" s="260"/>
      <c r="X149" s="260"/>
    </row>
    <row r="150" spans="3:24"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311"/>
      <c r="V150" s="260"/>
      <c r="W150" s="260"/>
      <c r="X150" s="260"/>
    </row>
    <row r="151" spans="3:24"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311"/>
      <c r="V151" s="260"/>
      <c r="W151" s="260"/>
      <c r="X151" s="260"/>
    </row>
    <row r="152" spans="3:24"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311"/>
      <c r="V152" s="260"/>
      <c r="W152" s="260"/>
      <c r="X152" s="260"/>
    </row>
    <row r="153" spans="3:24" ht="18"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311"/>
      <c r="V153" s="260"/>
      <c r="W153" s="260"/>
      <c r="X153" s="260"/>
    </row>
    <row r="154" spans="3:24" ht="18"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311"/>
      <c r="V154" s="260"/>
      <c r="W154" s="260"/>
      <c r="X154" s="260"/>
    </row>
    <row r="155" spans="3:24" ht="18"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311"/>
      <c r="V155" s="260"/>
      <c r="W155" s="260"/>
      <c r="X155" s="260"/>
    </row>
    <row r="156" spans="3:24" ht="18"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311"/>
      <c r="V156" s="260"/>
      <c r="W156" s="260"/>
      <c r="X156" s="260"/>
    </row>
    <row r="157" spans="3:24"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299"/>
      <c r="V157" s="260" t="s">
        <v>1262</v>
      </c>
      <c r="W157" s="260"/>
      <c r="X157" s="260"/>
    </row>
    <row r="158" spans="3:24"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299"/>
      <c r="V158" s="260" t="s">
        <v>1254</v>
      </c>
      <c r="W158" s="260"/>
      <c r="X158" s="260"/>
    </row>
    <row r="159" spans="3:24"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299"/>
      <c r="V159" s="260" t="s">
        <v>1254</v>
      </c>
      <c r="W159" s="260"/>
      <c r="X159" s="260"/>
    </row>
    <row r="160" spans="3:24"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299"/>
      <c r="V160" s="260" t="s">
        <v>1254</v>
      </c>
      <c r="W160" s="260"/>
      <c r="X160" s="260" t="s">
        <v>1255</v>
      </c>
    </row>
    <row r="161" spans="3:24"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299"/>
      <c r="V161" s="260" t="s">
        <v>1254</v>
      </c>
      <c r="W161" s="260"/>
      <c r="X161" s="260"/>
    </row>
    <row r="162" spans="3:24"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88" t="s">
        <v>1251</v>
      </c>
      <c r="V162" s="260" t="s">
        <v>1253</v>
      </c>
      <c r="W162" s="260"/>
      <c r="X162" s="260"/>
    </row>
    <row r="163" spans="3:24"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88" t="s">
        <v>1251</v>
      </c>
      <c r="V163" s="260" t="s">
        <v>1250</v>
      </c>
      <c r="W163" s="260"/>
      <c r="X163" s="260"/>
    </row>
    <row r="164" spans="3:24" ht="18" customHeight="1" x14ac:dyDescent="0.3">
      <c r="C164" s="294"/>
      <c r="D164" s="291" t="s">
        <v>22</v>
      </c>
      <c r="E164" s="291" t="s">
        <v>22</v>
      </c>
      <c r="F164" s="291" t="s">
        <v>1576</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88"/>
      <c r="V164" s="260"/>
      <c r="W164" s="260"/>
      <c r="X164" s="260"/>
    </row>
    <row r="165" spans="3:24"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88"/>
      <c r="V165" s="260"/>
      <c r="W165" s="260"/>
      <c r="X165" s="260"/>
    </row>
    <row r="166" spans="3:24"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288"/>
      <c r="V166" s="260"/>
      <c r="W166" s="260"/>
      <c r="X166" s="260"/>
    </row>
    <row r="167" spans="3:24"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88"/>
      <c r="V167" s="260"/>
      <c r="W167" s="260"/>
      <c r="X167" s="260" t="s">
        <v>1243</v>
      </c>
    </row>
    <row r="168" spans="3:24"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281"/>
      <c r="V168" s="260"/>
      <c r="W168" s="260"/>
      <c r="X168" s="260"/>
    </row>
    <row r="169" spans="3:24"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281"/>
      <c r="V169" s="260"/>
      <c r="W169" s="260"/>
      <c r="X169" s="260"/>
    </row>
    <row r="170" spans="3:24"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281"/>
      <c r="V170" s="260"/>
      <c r="W170" s="260"/>
      <c r="X170" s="260"/>
    </row>
    <row r="171" spans="3:24"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281"/>
      <c r="V171" s="260"/>
      <c r="W171" s="260"/>
      <c r="X171" s="260"/>
    </row>
    <row r="172" spans="3:24" ht="18" customHeight="1" x14ac:dyDescent="0.3">
      <c r="C172" s="275"/>
      <c r="D172" s="280"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281"/>
      <c r="V172" s="260" t="s">
        <v>1238</v>
      </c>
      <c r="W172" s="260"/>
      <c r="X172" s="260"/>
    </row>
    <row r="173" spans="3:24" ht="18" customHeight="1" x14ac:dyDescent="0.3">
      <c r="C173" s="275"/>
      <c r="D173" s="282"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286"/>
      <c r="V173" s="260" t="s">
        <v>1236</v>
      </c>
      <c r="W173" s="260"/>
      <c r="X173" s="260"/>
    </row>
    <row r="174" spans="3:24" ht="18" customHeight="1" x14ac:dyDescent="0.3">
      <c r="C174" s="275"/>
      <c r="D174" s="280"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281"/>
      <c r="V174" s="260" t="s">
        <v>1234</v>
      </c>
      <c r="W174" s="260"/>
      <c r="X174" s="260"/>
    </row>
    <row r="175" spans="3:24" ht="18" customHeight="1" x14ac:dyDescent="0.3">
      <c r="C175" s="275"/>
      <c r="D175" s="280"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281"/>
      <c r="V175" s="260" t="s">
        <v>1216</v>
      </c>
      <c r="W175" s="260"/>
      <c r="X175" s="260"/>
    </row>
    <row r="176" spans="3:24"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281"/>
      <c r="V176" s="260"/>
      <c r="W176" s="260"/>
      <c r="X176" s="260"/>
    </row>
    <row r="177" spans="3:24"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281"/>
      <c r="V177" s="260" t="s">
        <v>1230</v>
      </c>
      <c r="W177" s="260"/>
      <c r="X177" s="260"/>
    </row>
    <row r="178" spans="3:24"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281"/>
      <c r="V178" s="260" t="s">
        <v>1216</v>
      </c>
      <c r="W178" s="260"/>
      <c r="X178" s="260"/>
    </row>
    <row r="179" spans="3:24"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281" t="s">
        <v>1229</v>
      </c>
      <c r="V179" s="260" t="s">
        <v>1216</v>
      </c>
      <c r="W179" s="260"/>
      <c r="X179" s="260"/>
    </row>
    <row r="180" spans="3:24"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283"/>
      <c r="V180" s="260"/>
      <c r="W180" s="260"/>
      <c r="X180" s="260"/>
    </row>
    <row r="181" spans="3:24"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283"/>
      <c r="V181" s="260"/>
      <c r="W181" s="260"/>
      <c r="X181" s="260"/>
    </row>
    <row r="182" spans="3:24"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283"/>
      <c r="V182" s="260"/>
      <c r="W182" s="260"/>
      <c r="X182" s="260"/>
    </row>
    <row r="183" spans="3:24"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283"/>
      <c r="V183" s="260"/>
      <c r="W183" s="260"/>
      <c r="X183" s="260"/>
    </row>
    <row r="184" spans="3:24"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281"/>
      <c r="V184" s="260" t="s">
        <v>1221</v>
      </c>
      <c r="W184" s="260"/>
      <c r="X184" s="260"/>
    </row>
    <row r="185" spans="3:24"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281"/>
      <c r="V185" s="260" t="s">
        <v>1221</v>
      </c>
      <c r="W185" s="260"/>
      <c r="X185" s="260"/>
    </row>
    <row r="186" spans="3:24"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281"/>
      <c r="V186" s="260"/>
      <c r="W186" s="260"/>
      <c r="X186" s="260"/>
    </row>
    <row r="187" spans="3:24"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281"/>
      <c r="V187" s="260"/>
      <c r="W187" s="260"/>
      <c r="X187" s="260"/>
    </row>
    <row r="188" spans="3:24"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281"/>
      <c r="V188" s="260" t="s">
        <v>1221</v>
      </c>
      <c r="W188" s="260"/>
      <c r="X188" s="260"/>
    </row>
    <row r="189" spans="3:24"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281"/>
      <c r="V189" s="260"/>
      <c r="W189" s="260"/>
      <c r="X189" s="260"/>
    </row>
    <row r="190" spans="3:24"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283"/>
      <c r="V190" s="260"/>
      <c r="W190" s="260"/>
      <c r="X190" s="260"/>
    </row>
    <row r="191" spans="3:24" ht="18" customHeight="1" x14ac:dyDescent="0.3">
      <c r="C191" s="275"/>
      <c r="D191" s="282"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283" t="s">
        <v>1185</v>
      </c>
      <c r="V191" s="260" t="s">
        <v>1216</v>
      </c>
      <c r="W191" s="260"/>
      <c r="X191" s="260"/>
    </row>
    <row r="192" spans="3:24"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283"/>
      <c r="V192" s="260"/>
      <c r="W192" s="260"/>
      <c r="X192" s="260"/>
    </row>
    <row r="193" spans="3:24"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283"/>
      <c r="V193" s="260"/>
      <c r="W193" s="260"/>
      <c r="X193" s="260"/>
    </row>
    <row r="194" spans="3:24"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283"/>
      <c r="V194" s="260"/>
      <c r="W194" s="260"/>
      <c r="X194" s="260"/>
    </row>
    <row r="195" spans="3:24"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283"/>
      <c r="V195" s="260"/>
      <c r="W195" s="260"/>
      <c r="X195" s="260"/>
    </row>
    <row r="196" spans="3:24"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283"/>
      <c r="V196" s="260"/>
      <c r="W196" s="260"/>
      <c r="X196" s="260"/>
    </row>
    <row r="197" spans="3:24" ht="18" customHeight="1" x14ac:dyDescent="0.3">
      <c r="C197" s="275"/>
      <c r="D197" s="270"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281"/>
      <c r="V197" s="260"/>
      <c r="W197" s="260"/>
      <c r="X197" s="260"/>
    </row>
    <row r="198" spans="3:24" ht="18" customHeight="1" x14ac:dyDescent="0.3">
      <c r="C198" s="275"/>
      <c r="D198" s="280"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281"/>
      <c r="V198" s="260"/>
      <c r="W198" s="260"/>
      <c r="X198" s="260"/>
    </row>
    <row r="199" spans="3:24"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281"/>
      <c r="V199" s="260"/>
      <c r="W199" s="260"/>
      <c r="X199" s="260"/>
    </row>
    <row r="200" spans="3:24"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281"/>
      <c r="V200" s="260"/>
      <c r="W200" s="260"/>
      <c r="X200" s="260"/>
    </row>
    <row r="201" spans="3:24"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268"/>
      <c r="V201" s="260"/>
      <c r="W201" s="260"/>
      <c r="X201" s="260"/>
    </row>
    <row r="202" spans="3:24"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268"/>
      <c r="V202" s="260"/>
      <c r="W202" s="260"/>
      <c r="X202" s="260"/>
    </row>
    <row r="203" spans="3:24"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268"/>
      <c r="V203" s="260" t="s">
        <v>1208</v>
      </c>
      <c r="W203" s="260"/>
      <c r="X203" s="260"/>
    </row>
    <row r="204" spans="3:24"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268"/>
      <c r="V204" s="260"/>
      <c r="W204" s="260"/>
      <c r="X204" s="260"/>
    </row>
    <row r="205" spans="3:24"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268"/>
      <c r="V205" s="260"/>
      <c r="W205" s="260"/>
      <c r="X205" s="260"/>
    </row>
    <row r="206" spans="3:24"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268"/>
      <c r="V206" s="260"/>
      <c r="W206" s="260"/>
      <c r="X206" s="260"/>
    </row>
    <row r="207" spans="3:24"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268"/>
      <c r="V207" s="260"/>
      <c r="W207" s="260"/>
      <c r="X207" s="260"/>
    </row>
    <row r="208" spans="3:24"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268"/>
      <c r="V208" s="260"/>
      <c r="W208" s="260"/>
      <c r="X208" s="260"/>
    </row>
    <row r="209" spans="3:24"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268"/>
      <c r="V209" s="260"/>
      <c r="W209" s="260"/>
      <c r="X209" s="260"/>
    </row>
    <row r="210" spans="3:24"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268"/>
      <c r="V210" s="260"/>
      <c r="W210" s="260"/>
      <c r="X210" s="260"/>
    </row>
    <row r="211" spans="3:24"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268"/>
      <c r="V211" s="260"/>
      <c r="W211" s="260"/>
      <c r="X211" s="260"/>
    </row>
    <row r="212" spans="3:24"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268"/>
      <c r="V212" s="260"/>
      <c r="W212" s="260"/>
      <c r="X212" s="260"/>
    </row>
    <row r="213" spans="3:24"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268"/>
      <c r="V213" s="260"/>
      <c r="W213" s="260"/>
      <c r="X213" s="260"/>
    </row>
    <row r="214" spans="3:24"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268"/>
      <c r="V214" s="260"/>
      <c r="W214" s="260"/>
      <c r="X214" s="260"/>
    </row>
    <row r="215" spans="3:24"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268"/>
      <c r="V215" s="260"/>
      <c r="W215" s="260"/>
      <c r="X215" s="260"/>
    </row>
    <row r="216" spans="3:24"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268"/>
      <c r="V216" s="260" t="s">
        <v>1191</v>
      </c>
      <c r="W216" s="260"/>
      <c r="X216" s="260"/>
    </row>
    <row r="217" spans="3:24"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268"/>
      <c r="V217" s="260"/>
      <c r="W217" s="260"/>
      <c r="X217" s="260"/>
    </row>
    <row r="218" spans="3:24"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268"/>
      <c r="V218" s="260"/>
      <c r="W218" s="260"/>
      <c r="X218" s="260"/>
    </row>
    <row r="219" spans="3:24"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268"/>
      <c r="V219" s="260" t="s">
        <v>1191</v>
      </c>
      <c r="W219" s="260"/>
      <c r="X219" s="260"/>
    </row>
    <row r="220" spans="3:24"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268"/>
      <c r="V220" s="260"/>
      <c r="W220" s="260"/>
      <c r="X220" s="260"/>
    </row>
    <row r="221" spans="3:24"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268"/>
      <c r="V221" s="260"/>
      <c r="W221" s="260"/>
      <c r="X221" s="260"/>
    </row>
    <row r="222" spans="3:24"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268"/>
      <c r="V222" s="260"/>
      <c r="W222" s="260"/>
      <c r="X222" s="260"/>
    </row>
    <row r="223" spans="3:24"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268"/>
      <c r="V223" s="260" t="s">
        <v>1191</v>
      </c>
      <c r="W223" s="260"/>
      <c r="X223" s="260"/>
    </row>
    <row r="224" spans="3:24"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268" t="s">
        <v>1185</v>
      </c>
      <c r="V224" s="260" t="s">
        <v>1190</v>
      </c>
      <c r="W224" s="260"/>
      <c r="X224" s="260"/>
    </row>
    <row r="225" spans="3:24"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268" t="s">
        <v>1185</v>
      </c>
      <c r="V225" s="260" t="s">
        <v>1190</v>
      </c>
      <c r="W225" s="260"/>
      <c r="X225" s="260"/>
    </row>
    <row r="226" spans="3:24"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268" t="s">
        <v>1185</v>
      </c>
      <c r="V226" s="260" t="s">
        <v>1190</v>
      </c>
      <c r="W226" s="260"/>
      <c r="X226" s="260"/>
    </row>
    <row r="227" spans="3:24"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268" t="s">
        <v>1185</v>
      </c>
      <c r="V227" s="260" t="s">
        <v>1190</v>
      </c>
      <c r="W227" s="260"/>
      <c r="X227" s="260"/>
    </row>
    <row r="228" spans="3:24"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268" t="s">
        <v>1185</v>
      </c>
      <c r="V228" s="260" t="s">
        <v>1190</v>
      </c>
      <c r="W228" s="260"/>
      <c r="X228" s="260"/>
    </row>
    <row r="229" spans="3:24"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268" t="s">
        <v>1185</v>
      </c>
      <c r="V229" s="260"/>
      <c r="W229" s="260"/>
      <c r="X229" s="260"/>
    </row>
    <row r="230" spans="3:24"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268" t="s">
        <v>1185</v>
      </c>
      <c r="V230" s="260"/>
      <c r="W230" s="260"/>
      <c r="X230" s="260"/>
    </row>
    <row r="231" spans="3:24"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268" t="s">
        <v>1185</v>
      </c>
      <c r="V231" s="260"/>
      <c r="W231" s="260"/>
      <c r="X231" s="260"/>
    </row>
    <row r="232" spans="3:24"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262"/>
      <c r="V232" s="260"/>
      <c r="W232" s="260"/>
      <c r="X232" s="260"/>
    </row>
  </sheetData>
  <conditionalFormatting sqref="J33:J37">
    <cfRule type="cellIs" dxfId="609" priority="59" operator="equal">
      <formula>0</formula>
    </cfRule>
  </conditionalFormatting>
  <conditionalFormatting sqref="D203">
    <cfRule type="cellIs" dxfId="608" priority="58" operator="equal">
      <formula>0</formula>
    </cfRule>
  </conditionalFormatting>
  <conditionalFormatting sqref="D206">
    <cfRule type="cellIs" dxfId="607" priority="54" operator="equal">
      <formula>0</formula>
    </cfRule>
  </conditionalFormatting>
  <conditionalFormatting sqref="D204">
    <cfRule type="cellIs" dxfId="606" priority="57" operator="equal">
      <formula>0</formula>
    </cfRule>
  </conditionalFormatting>
  <conditionalFormatting sqref="D205">
    <cfRule type="cellIs" dxfId="605" priority="56" operator="equal">
      <formula>0</formula>
    </cfRule>
  </conditionalFormatting>
  <conditionalFormatting sqref="D207">
    <cfRule type="cellIs" dxfId="604" priority="55" operator="equal">
      <formula>0</formula>
    </cfRule>
  </conditionalFormatting>
  <conditionalFormatting sqref="E203">
    <cfRule type="cellIs" dxfId="603" priority="53" operator="equal">
      <formula>0</formula>
    </cfRule>
  </conditionalFormatting>
  <conditionalFormatting sqref="E204">
    <cfRule type="cellIs" dxfId="602" priority="52" operator="equal">
      <formula>0</formula>
    </cfRule>
  </conditionalFormatting>
  <conditionalFormatting sqref="E205">
    <cfRule type="cellIs" dxfId="601" priority="51" operator="equal">
      <formula>0</formula>
    </cfRule>
  </conditionalFormatting>
  <conditionalFormatting sqref="E207">
    <cfRule type="cellIs" dxfId="600" priority="50" operator="equal">
      <formula>0</formula>
    </cfRule>
  </conditionalFormatting>
  <conditionalFormatting sqref="E206">
    <cfRule type="cellIs" dxfId="599" priority="49" operator="equal">
      <formula>0</formula>
    </cfRule>
  </conditionalFormatting>
  <conditionalFormatting sqref="D209">
    <cfRule type="cellIs" dxfId="598" priority="47" operator="equal">
      <formula>0</formula>
    </cfRule>
  </conditionalFormatting>
  <conditionalFormatting sqref="D208 H163:H167">
    <cfRule type="cellIs" priority="48" operator="equal">
      <formula>0</formula>
    </cfRule>
  </conditionalFormatting>
  <conditionalFormatting sqref="E209">
    <cfRule type="cellIs" dxfId="597" priority="45" operator="equal">
      <formula>0</formula>
    </cfRule>
  </conditionalFormatting>
  <conditionalFormatting sqref="E208">
    <cfRule type="cellIs" priority="46" operator="equal">
      <formula>0</formula>
    </cfRule>
  </conditionalFormatting>
  <conditionalFormatting sqref="E210">
    <cfRule type="cellIs" dxfId="596" priority="43" operator="equal">
      <formula>0</formula>
    </cfRule>
    <cfRule type="cellIs" dxfId="595" priority="44" operator="equal">
      <formula>0</formula>
    </cfRule>
  </conditionalFormatting>
  <conditionalFormatting sqref="E212">
    <cfRule type="cellIs" priority="42" operator="equal">
      <formula>0</formula>
    </cfRule>
  </conditionalFormatting>
  <conditionalFormatting sqref="D160 F160">
    <cfRule type="cellIs" dxfId="594" priority="37" operator="equal">
      <formula>0</formula>
    </cfRule>
  </conditionalFormatting>
  <conditionalFormatting sqref="D157 F157:H157 G158:H161">
    <cfRule type="cellIs" dxfId="593" priority="41" operator="equal">
      <formula>0</formula>
    </cfRule>
  </conditionalFormatting>
  <conditionalFormatting sqref="D158 F158">
    <cfRule type="cellIs" dxfId="592" priority="40" operator="equal">
      <formula>0</formula>
    </cfRule>
  </conditionalFormatting>
  <conditionalFormatting sqref="D159 F159">
    <cfRule type="cellIs" dxfId="591" priority="39" operator="equal">
      <formula>0</formula>
    </cfRule>
  </conditionalFormatting>
  <conditionalFormatting sqref="D161">
    <cfRule type="cellIs" dxfId="590" priority="38" operator="equal">
      <formula>0</formula>
    </cfRule>
  </conditionalFormatting>
  <conditionalFormatting sqref="F161">
    <cfRule type="cellIs" dxfId="589" priority="36" operator="equal">
      <formula>0</formula>
    </cfRule>
  </conditionalFormatting>
  <conditionalFormatting sqref="E157">
    <cfRule type="cellIs" dxfId="588" priority="35" operator="equal">
      <formula>0</formula>
    </cfRule>
  </conditionalFormatting>
  <conditionalFormatting sqref="E158">
    <cfRule type="cellIs" dxfId="587" priority="34" operator="equal">
      <formula>0</formula>
    </cfRule>
  </conditionalFormatting>
  <conditionalFormatting sqref="E159">
    <cfRule type="cellIs" dxfId="586" priority="33" operator="equal">
      <formula>0</formula>
    </cfRule>
  </conditionalFormatting>
  <conditionalFormatting sqref="E161">
    <cfRule type="cellIs" dxfId="585" priority="32" operator="equal">
      <formula>0</formula>
    </cfRule>
  </conditionalFormatting>
  <conditionalFormatting sqref="E160">
    <cfRule type="cellIs" dxfId="584" priority="31" operator="equal">
      <formula>0</formula>
    </cfRule>
  </conditionalFormatting>
  <conditionalFormatting sqref="D163 F163">
    <cfRule type="cellIs" dxfId="583" priority="29" operator="equal">
      <formula>0</formula>
    </cfRule>
  </conditionalFormatting>
  <conditionalFormatting sqref="D162 F162:H162 G163:G167">
    <cfRule type="cellIs" priority="30" operator="equal">
      <formula>0</formula>
    </cfRule>
  </conditionalFormatting>
  <conditionalFormatting sqref="D164 F164">
    <cfRule type="cellIs" dxfId="582" priority="27" operator="equal">
      <formula>0</formula>
    </cfRule>
    <cfRule type="cellIs" dxfId="581" priority="28" operator="equal">
      <formula>0</formula>
    </cfRule>
  </conditionalFormatting>
  <conditionalFormatting sqref="E163">
    <cfRule type="cellIs" dxfId="580" priority="25" operator="equal">
      <formula>0</formula>
    </cfRule>
  </conditionalFormatting>
  <conditionalFormatting sqref="E162">
    <cfRule type="cellIs" priority="26" operator="equal">
      <formula>0</formula>
    </cfRule>
  </conditionalFormatting>
  <conditionalFormatting sqref="E164">
    <cfRule type="cellIs" dxfId="579" priority="23" operator="equal">
      <formula>0</formula>
    </cfRule>
    <cfRule type="cellIs" dxfId="578" priority="24" operator="equal">
      <formula>0</formula>
    </cfRule>
  </conditionalFormatting>
  <conditionalFormatting sqref="D165:D166 F165:F166">
    <cfRule type="cellIs" priority="22" operator="equal">
      <formula>0</formula>
    </cfRule>
  </conditionalFormatting>
  <conditionalFormatting sqref="E165:E166">
    <cfRule type="cellIs" priority="21" operator="equal">
      <formula>0</formula>
    </cfRule>
  </conditionalFormatting>
  <conditionalFormatting sqref="N157">
    <cfRule type="cellIs" dxfId="577" priority="20" operator="equal">
      <formula>0</formula>
    </cfRule>
  </conditionalFormatting>
  <conditionalFormatting sqref="N158">
    <cfRule type="cellIs" dxfId="576" priority="19" operator="equal">
      <formula>0</formula>
    </cfRule>
  </conditionalFormatting>
  <conditionalFormatting sqref="N159">
    <cfRule type="cellIs" dxfId="575" priority="18" operator="equal">
      <formula>0</formula>
    </cfRule>
  </conditionalFormatting>
  <conditionalFormatting sqref="N160">
    <cfRule type="cellIs" dxfId="574" priority="17" operator="equal">
      <formula>0</formula>
    </cfRule>
  </conditionalFormatting>
  <conditionalFormatting sqref="N162">
    <cfRule type="cellIs" priority="16" operator="equal">
      <formula>0</formula>
    </cfRule>
  </conditionalFormatting>
  <conditionalFormatting sqref="N163">
    <cfRule type="cellIs" dxfId="573" priority="15" operator="equal">
      <formula>0</formula>
    </cfRule>
  </conditionalFormatting>
  <conditionalFormatting sqref="N164:N166">
    <cfRule type="cellIs" dxfId="572" priority="13" operator="equal">
      <formula>0</formula>
    </cfRule>
    <cfRule type="cellIs" dxfId="571" priority="14" operator="equal">
      <formula>0</formula>
    </cfRule>
  </conditionalFormatting>
  <conditionalFormatting sqref="L157:L159">
    <cfRule type="cellIs" dxfId="570" priority="12" operator="equal">
      <formula>0</formula>
    </cfRule>
  </conditionalFormatting>
  <conditionalFormatting sqref="L157">
    <cfRule type="cellIs" dxfId="569" priority="11" operator="equal">
      <formula>0</formula>
    </cfRule>
  </conditionalFormatting>
  <conditionalFormatting sqref="L158">
    <cfRule type="cellIs" dxfId="568" priority="10" operator="equal">
      <formula>0</formula>
    </cfRule>
  </conditionalFormatting>
  <conditionalFormatting sqref="L159">
    <cfRule type="cellIs" dxfId="567" priority="9" operator="equal">
      <formula>0</formula>
    </cfRule>
  </conditionalFormatting>
  <conditionalFormatting sqref="L160:L161">
    <cfRule type="cellIs" dxfId="566" priority="8" operator="equal">
      <formula>0</formula>
    </cfRule>
  </conditionalFormatting>
  <conditionalFormatting sqref="L160">
    <cfRule type="cellIs" dxfId="565" priority="7" operator="equal">
      <formula>0</formula>
    </cfRule>
  </conditionalFormatting>
  <conditionalFormatting sqref="L161">
    <cfRule type="cellIs" dxfId="564" priority="6" operator="equal">
      <formula>0</formula>
    </cfRule>
  </conditionalFormatting>
  <conditionalFormatting sqref="L166">
    <cfRule type="cellIs" dxfId="563" priority="5" operator="equal">
      <formula>0</formula>
    </cfRule>
  </conditionalFormatting>
  <conditionalFormatting sqref="L167">
    <cfRule type="cellIs" dxfId="562" priority="4" operator="equal">
      <formula>0</formula>
    </cfRule>
  </conditionalFormatting>
  <conditionalFormatting sqref="L165:L166">
    <cfRule type="cellIs" dxfId="561" priority="3" operator="equal">
      <formula>0</formula>
    </cfRule>
  </conditionalFormatting>
  <conditionalFormatting sqref="L165:L166">
    <cfRule type="cellIs" priority="2" operator="equal">
      <formula>0</formula>
    </cfRule>
  </conditionalFormatting>
  <conditionalFormatting sqref="O160">
    <cfRule type="cellIs" dxfId="560"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9574A-6A93-43F8-9866-52B89CBE5334}">
  <dimension ref="A3:B120"/>
  <sheetViews>
    <sheetView topLeftCell="A73" workbookViewId="0">
      <selection activeCell="A57" sqref="A57"/>
    </sheetView>
  </sheetViews>
  <sheetFormatPr defaultRowHeight="14.4" x14ac:dyDescent="0.3"/>
  <cols>
    <col min="1" max="1" width="33.6640625" customWidth="1"/>
    <col min="2" max="2" width="41.88671875" customWidth="1"/>
  </cols>
  <sheetData>
    <row r="3" spans="1:2" x14ac:dyDescent="0.3">
      <c r="A3" t="str">
        <f>CSxE_ESE_GSC_FuseCfg_1!D51</f>
        <v>Security_Debug_Disable</v>
      </c>
      <c r="B3" t="str">
        <f>CSxE_ESE_GSC_FuseCfg!D51</f>
        <v>Security_Debug_Disable</v>
      </c>
    </row>
    <row r="4" spans="1:2" x14ac:dyDescent="0.3">
      <c r="A4" s="15" t="str">
        <f>CSxE_ESE_GSC_FuseCfg_1!D52</f>
        <v>ROM_Bypass_Disable</v>
      </c>
      <c r="B4" s="15" t="str">
        <f>CSxE_ESE_GSC_FuseCfg!D52</f>
        <v>ROM_Bypass_Disable</v>
      </c>
    </row>
    <row r="5" spans="1:2" x14ac:dyDescent="0.3">
      <c r="A5" s="15" t="str">
        <f>CSxE_ESE_GSC_FuseCfg_1!D53</f>
        <v>Testmode_G0_Key_Disable</v>
      </c>
      <c r="B5" s="15" t="str">
        <f>CSxE_ESE_GSC_FuseCfg!D53</f>
        <v>Testmode_G0_Key_Disable</v>
      </c>
    </row>
    <row r="6" spans="1:2" x14ac:dyDescent="0.3">
      <c r="A6" s="15" t="str">
        <f>CSxE_ESE_GSC_FuseCfg_1!D54</f>
        <v>Testmode_G1_Key_Disable</v>
      </c>
      <c r="B6" s="15" t="str">
        <f>CSxE_ESE_GSC_FuseCfg!D54</f>
        <v>Testmode_G1_Key_Disable</v>
      </c>
    </row>
    <row r="7" spans="1:2" x14ac:dyDescent="0.3">
      <c r="A7" s="15" t="str">
        <f>CSxE_ESE_GSC_FuseCfg_1!D55</f>
        <v>Platform_Halt_Enable</v>
      </c>
      <c r="B7" s="15" t="str">
        <f>CSxE_ESE_GSC_FuseCfg!D55</f>
        <v>Platform_Halt_Enable</v>
      </c>
    </row>
    <row r="8" spans="1:2" x14ac:dyDescent="0.3">
      <c r="A8" s="15" t="str">
        <f>CSxE_ESE_GSC_FuseCfg_1!D56</f>
        <v>Platform_Halt_Policy_In_IFP</v>
      </c>
      <c r="B8" s="15" t="str">
        <f>CSxE_ESE_GSC_FuseCfg!D56</f>
        <v>Platform_Halt_Policy_In_IFP</v>
      </c>
    </row>
    <row r="9" spans="1:2" x14ac:dyDescent="0.3">
      <c r="A9" s="15" t="str">
        <f>CSxE_ESE_GSC_FuseCfg_1!D57</f>
        <v>Testmode_G2_Key_Disable</v>
      </c>
      <c r="B9" s="15" t="str">
        <f>CSxE_ESE_GSC_FuseCfg!D57</f>
        <v>Testmode_G2_Key_Disable</v>
      </c>
    </row>
    <row r="10" spans="1:2" x14ac:dyDescent="0.3">
      <c r="A10" s="15" t="str">
        <f>CSxE_ESE_GSC_FuseCfg_1!D58</f>
        <v>IP_SRAM_Zeroing_Bypass_Disable</v>
      </c>
      <c r="B10" s="15" t="str">
        <f>CSxE_ESE_GSC_FuseCfg!D58</f>
        <v>IP_SRAM_Zeroing_Bypass_Disable</v>
      </c>
    </row>
    <row r="11" spans="1:2" x14ac:dyDescent="0.3">
      <c r="A11" s="15" t="str">
        <f>CSxE_ESE_GSC_FuseCfg_1!D59</f>
        <v>ROM_Tracing_Hard_Disable</v>
      </c>
      <c r="B11" s="15" t="str">
        <f>CSxE_ESE_GSC_FuseCfg!D59</f>
        <v>ROM_Tracing_Hard_Disable</v>
      </c>
    </row>
    <row r="12" spans="1:2" x14ac:dyDescent="0.3">
      <c r="A12" s="15" t="str">
        <f>CSxE_ESE_GSC_FuseCfg_1!D60</f>
        <v>ROM_Bypass_Auth_Disable</v>
      </c>
      <c r="B12" s="15" t="str">
        <f>CSxE_ESE_GSC_FuseCfg!D60</f>
        <v>ROM_Bypass_Auth_Disable</v>
      </c>
    </row>
    <row r="13" spans="1:2" x14ac:dyDescent="0.3">
      <c r="A13" s="15" t="str">
        <f>CSxE_ESE_GSC_FuseCfg_1!D61</f>
        <v>IP_DNX_Disable</v>
      </c>
      <c r="B13" s="15" t="str">
        <f>CSxE_ESE_GSC_FuseCfg!D61</f>
        <v>IP_DNX_Disable</v>
      </c>
    </row>
    <row r="14" spans="1:2" x14ac:dyDescent="0.3">
      <c r="A14" s="15" t="str">
        <f>CSxE_ESE_GSC_FuseCfg_1!D62</f>
        <v>ROM_Bypass_OEM_Unlock</v>
      </c>
      <c r="B14" s="15" t="str">
        <f>CSxE_ESE_GSC_FuseCfg!D62</f>
        <v>ROM_Bypass_OEM_Unlock</v>
      </c>
    </row>
    <row r="15" spans="1:2" x14ac:dyDescent="0.3">
      <c r="A15" s="15" t="str">
        <f>CSxE_ESE_GSC_FuseCfg_1!D63</f>
        <v>SOC_DEV_REUSE_PROHIBITED</v>
      </c>
      <c r="B15" s="15" t="str">
        <f>CSxE_ESE_GSC_FuseCfg!D63</f>
        <v>SOC_DEV_REUSE_PROHIBITED</v>
      </c>
    </row>
    <row r="16" spans="1:2" x14ac:dyDescent="0.3">
      <c r="A16" s="15" t="str">
        <f>CSxE_ESE_GSC_FuseCfg_1!D64</f>
        <v>Hard_Strap_Boot_Source_Sel_EN</v>
      </c>
      <c r="B16" s="15" t="str">
        <f>CSxE_ESE_GSC_FuseCfg!D64</f>
        <v>Hard_Strap_Boot_Source_Sel_EN</v>
      </c>
    </row>
    <row r="17" spans="1:2" x14ac:dyDescent="0.3">
      <c r="A17" s="15" t="str">
        <f>CSxE_ESE_GSC_FuseCfg_1!D65</f>
        <v>PUF_Global_Disable</v>
      </c>
      <c r="B17" s="15" t="str">
        <f>CSxE_ESE_GSC_FuseCfg!D65</f>
        <v>PUF_Global_Disable</v>
      </c>
    </row>
    <row r="18" spans="1:2" x14ac:dyDescent="0.3">
      <c r="A18" s="15" t="str">
        <f>CSxE_ESE_GSC_FuseCfg_1!D66</f>
        <v>HW_PUF_CM_EN</v>
      </c>
      <c r="B18" s="15" t="str">
        <f>CSxE_ESE_GSC_FuseCfg!D66</f>
        <v>HW_PUF_CM_EN</v>
      </c>
    </row>
    <row r="19" spans="1:2" x14ac:dyDescent="0.3">
      <c r="A19" s="15" t="str">
        <f>CSxE_ESE_GSC_FuseCfg_1!D67</f>
        <v>IP_HVM_Mode_Disable</v>
      </c>
      <c r="B19" s="15" t="str">
        <f>CSxE_ESE_GSC_FuseCfg!D67</f>
        <v>IP_HVM_Mode_Disable</v>
      </c>
    </row>
    <row r="20" spans="1:2" x14ac:dyDescent="0.3">
      <c r="A20" s="15" t="str">
        <f>CSxE_ESE_GSC_FuseCfg_1!D68</f>
        <v>IP_MIA_HALT_Disable</v>
      </c>
      <c r="B20" s="15" t="str">
        <f>CSxE_ESE_GSC_FuseCfg!D68</f>
        <v>IP_MIA_HALT_Disable</v>
      </c>
    </row>
    <row r="21" spans="1:2" x14ac:dyDescent="0.3">
      <c r="A21" s="15" t="str">
        <f>CSxE_ESE_GSC_FuseCfg_1!D69</f>
        <v>HW_PUF_MV_Sel</v>
      </c>
      <c r="B21" s="15" t="str">
        <f>CSxE_ESE_GSC_FuseCfg!D69</f>
        <v>HW_PUF_MV_Sel</v>
      </c>
    </row>
    <row r="22" spans="1:2" x14ac:dyDescent="0.3">
      <c r="A22" s="15" t="str">
        <f>CSxE_ESE_GSC_FuseCfg_1!D70</f>
        <v>SOC_PCH_DSW_SUPPORT</v>
      </c>
      <c r="B22" s="15" t="str">
        <f>CSxE_ESE_GSC_FuseCfg!D70</f>
        <v>SOC_PCH_DSW_SUPPORT</v>
      </c>
    </row>
    <row r="23" spans="1:2" x14ac:dyDescent="0.3">
      <c r="A23" s="15" t="str">
        <f>CSxE_ESE_GSC_FuseCfg_1!D71</f>
        <v>DS3_CTXT_ACTIVE</v>
      </c>
      <c r="B23" s="15" t="str">
        <f>CSxE_ESE_GSC_FuseCfg!D71</f>
        <v>DS3_CTXT_ACTIVE</v>
      </c>
    </row>
    <row r="24" spans="1:2" x14ac:dyDescent="0.3">
      <c r="A24" s="15" t="str">
        <f>CSxE_ESE_GSC_FuseCfg_1!D72</f>
        <v>DS4_CTXT_ACTIVE</v>
      </c>
      <c r="B24" s="15" t="str">
        <f>CSxE_ESE_GSC_FuseCfg!D72</f>
        <v>DS4_CTXT_ACTIVE</v>
      </c>
    </row>
    <row r="25" spans="1:2" x14ac:dyDescent="0.3">
      <c r="A25" s="15" t="str">
        <f>CSxE_ESE_GSC_FuseCfg_1!D73</f>
        <v>DS5_CTXT_ACTIVE</v>
      </c>
      <c r="B25" s="15" t="str">
        <f>CSxE_ESE_GSC_FuseCfg!D73</f>
        <v>DS5_CTXT_ACTIVE</v>
      </c>
    </row>
    <row r="26" spans="1:2" x14ac:dyDescent="0.3">
      <c r="A26" s="15" t="str">
        <f>CSxE_ESE_GSC_FuseCfg_1!D74</f>
        <v>DS5_UNGRACEFULL_POSSIBLE</v>
      </c>
      <c r="B26" s="15" t="str">
        <f>CSxE_ESE_GSC_FuseCfg!D74</f>
        <v>DS5_UNGRACEFULL_POSSIBLE</v>
      </c>
    </row>
    <row r="27" spans="1:2" x14ac:dyDescent="0.3">
      <c r="A27" s="15" t="str">
        <f>CSxE_ESE_GSC_FuseCfg_1!D75</f>
        <v>SOC_PCH_CTXT_SURV_TYPE7_GRST</v>
      </c>
      <c r="B27" s="15" t="str">
        <f>CSxE_ESE_GSC_FuseCfg!D75</f>
        <v>SOC_PCH_CTXT_SURV_TYPE7_GRST</v>
      </c>
    </row>
    <row r="28" spans="1:2" x14ac:dyDescent="0.3">
      <c r="A28" s="15" t="str">
        <f>CSxE_ESE_GSC_FuseCfg_1!D76</f>
        <v>SOC_PM_M3_SUPPORT</v>
      </c>
      <c r="B28" s="15" t="str">
        <f>CSxE_ESE_GSC_FuseCfg!D76</f>
        <v>SOC_PM_M3_SUPPORT</v>
      </c>
    </row>
    <row r="29" spans="1:2" x14ac:dyDescent="0.3">
      <c r="A29" s="15" t="str">
        <f>CSxE_ESE_GSC_FuseCfg_1!D77</f>
        <v>BOOT_SOURCE_SWITCH_THROUGH_GRST</v>
      </c>
      <c r="B29" s="15" t="str">
        <f>CSxE_ESE_GSC_FuseCfg!D77</f>
        <v>BOOT_SOURCE_SWITCH_THROUGH_GRST</v>
      </c>
    </row>
    <row r="30" spans="1:2" x14ac:dyDescent="0.3">
      <c r="A30" s="15" t="str">
        <f>CSxE_ESE_GSC_FuseCfg_1!D78</f>
        <v>HW_PUF_BCH_ITR</v>
      </c>
      <c r="B30" s="15" t="str">
        <f>CSxE_ESE_GSC_FuseCfg!D78</f>
        <v>HW_PUF_BCH_ITR</v>
      </c>
    </row>
    <row r="31" spans="1:2" x14ac:dyDescent="0.3">
      <c r="A31" s="15" t="str">
        <f>CSxE_ESE_GSC_FuseCfg_1!D79</f>
        <v>ENFORCE_ACTIVE_CTXT_IMG_SRC_INFO</v>
      </c>
      <c r="B31" s="15" t="str">
        <f>CSxE_ESE_GSC_FuseCfg!D79</f>
        <v>ENFORCE_ACTIVE_CTXT_IMG_SRC_INFO</v>
      </c>
    </row>
    <row r="32" spans="1:2" x14ac:dyDescent="0.3">
      <c r="A32" s="15" t="str">
        <f>CSxE_ESE_GSC_FuseCfg_1!D80</f>
        <v>SpareFuse</v>
      </c>
      <c r="B32" s="15" t="str">
        <f>CSxE_ESE_GSC_FuseCfg!D80</f>
        <v>SpareFuse</v>
      </c>
    </row>
    <row r="33" spans="1:2" x14ac:dyDescent="0.3">
      <c r="A33" s="15" t="str">
        <f>CSxE_ESE_GSC_FuseCfg_1!D81</f>
        <v>SKIP_FUSE_BASED_PATCH</v>
      </c>
      <c r="B33" s="15" t="str">
        <f>CSxE_ESE_GSC_FuseCfg!D81</f>
        <v>SKIP_FUSE_BASED_PATCH</v>
      </c>
    </row>
    <row r="34" spans="1:2" x14ac:dyDescent="0.3">
      <c r="A34" s="15" t="str">
        <f>CSxE_ESE_GSC_FuseCfg_1!D82</f>
        <v>PMC_SUPPORTS_BOOT_SRVS_STSFIIED_MSG</v>
      </c>
      <c r="B34" s="15" t="str">
        <f>CSxE_ESE_GSC_FuseCfg!D82</f>
        <v>PMC_SUPPORTS_BOOT_SRVS_STSFIIED_MSG</v>
      </c>
    </row>
    <row r="35" spans="1:2" x14ac:dyDescent="0.3">
      <c r="A35" s="15" t="str">
        <f>CSxE_ESE_GSC_FuseCfg_1!D83</f>
        <v>ENFORCE_CSME_REGION_SIZE_CHECK</v>
      </c>
      <c r="B35" s="15" t="str">
        <f>CSxE_ESE_GSC_FuseCfg!D83</f>
        <v>ENFORCE_CSME_REGION_SIZE_CHECK</v>
      </c>
    </row>
    <row r="36" spans="1:2" x14ac:dyDescent="0.3">
      <c r="A36" s="15" t="str">
        <f>CSxE_ESE_GSC_FuseCfg_1!D84</f>
        <v>Revenue_Part_Indicator_Disable</v>
      </c>
      <c r="B36" s="15" t="str">
        <f>CSxE_ESE_GSC_FuseCfg!D84</f>
        <v>Revenue_Part_Indicator_Disable</v>
      </c>
    </row>
    <row r="37" spans="1:2" x14ac:dyDescent="0.3">
      <c r="A37" s="15" t="str">
        <f>CSxE_ESE_GSC_FuseCfg_1!D85</f>
        <v>ISH_Disable</v>
      </c>
      <c r="B37" s="15" t="str">
        <f>CSxE_ESE_GSC_FuseCfg!D85</f>
        <v>ISH_Disable</v>
      </c>
    </row>
    <row r="38" spans="1:2" x14ac:dyDescent="0.3">
      <c r="A38" s="15" t="str">
        <f>CSxE_ESE_GSC_FuseCfg_1!D86</f>
        <v>C_SKU</v>
      </c>
      <c r="B38" s="15" t="str">
        <f>CSxE_ESE_GSC_FuseCfg!D86</f>
        <v>C_SKU</v>
      </c>
    </row>
    <row r="39" spans="1:2" x14ac:dyDescent="0.3">
      <c r="A39" s="15" t="str">
        <f>CSxE_ESE_GSC_FuseCfg_1!D87</f>
        <v>FUSA_DIAGTEST_FEATURE_EN</v>
      </c>
      <c r="B39" s="15" t="str">
        <f>CSxE_ESE_GSC_FuseCfg!D87</f>
        <v>FUSA_DIAGTEST_FEATURE_EN</v>
      </c>
    </row>
    <row r="40" spans="1:2" x14ac:dyDescent="0.3">
      <c r="A40" s="15" t="str">
        <f>CSxE_ESE_GSC_FuseCfg_1!D88</f>
        <v>OCS_DRNG_Enable</v>
      </c>
      <c r="B40" s="15" t="str">
        <f>CSxE_ESE_GSC_FuseCfg!D88</f>
        <v>OCS_DRNG_Enable</v>
      </c>
    </row>
    <row r="41" spans="1:2" x14ac:dyDescent="0.3">
      <c r="A41" s="15" t="str">
        <f>CSxE_ESE_GSC_FuseCfg_1!D89</f>
        <v>Disable_NM2_0</v>
      </c>
      <c r="B41" s="15" t="str">
        <f>CSxE_ESE_GSC_FuseCfg!D89</f>
        <v>Disable_NM2_0</v>
      </c>
    </row>
    <row r="42" spans="1:2" x14ac:dyDescent="0.3">
      <c r="A42" s="15" t="str">
        <f>CSxE_ESE_GSC_FuseCfg_1!D90</f>
        <v>DCMI_Disable</v>
      </c>
      <c r="B42" s="15" t="str">
        <f>CSxE_ESE_GSC_FuseCfg!D90</f>
        <v>DCMI_Disable</v>
      </c>
    </row>
    <row r="43" spans="1:2" x14ac:dyDescent="0.3">
      <c r="A43" s="15" t="str">
        <f>CSxE_ESE_GSC_FuseCfg_1!D91</f>
        <v>SVR_CHIPSET</v>
      </c>
      <c r="B43" s="15" t="str">
        <f>CSxE_ESE_GSC_FuseCfg!D91</f>
        <v>SVR_CHIPSET</v>
      </c>
    </row>
    <row r="44" spans="1:2" x14ac:dyDescent="0.3">
      <c r="A44" s="15" t="str">
        <f>CSxE_ESE_GSC_FuseCfg_1!D92</f>
        <v>PAVP_2_0_Disable</v>
      </c>
      <c r="B44" s="15" t="str">
        <f>CSxE_ESE_GSC_FuseCfg!D92</f>
        <v>PAVP_2_0_Disable</v>
      </c>
    </row>
    <row r="45" spans="1:2" x14ac:dyDescent="0.3">
      <c r="A45" s="15" t="str">
        <f>CSxE_ESE_GSC_FuseCfg_1!D93</f>
        <v>MANEAGEABILITY_APP_Disable</v>
      </c>
      <c r="B45" s="15" t="str">
        <f>CSxE_ESE_GSC_FuseCfg!D93</f>
        <v>MANEAGEABILITY_APP_Disable</v>
      </c>
    </row>
    <row r="46" spans="1:2" x14ac:dyDescent="0.3">
      <c r="A46" s="15" t="str">
        <f>CSxE_ESE_GSC_FuseCfg_1!D94</f>
        <v>IP_SKU_Fuse_6_NET_INFRA_MODE</v>
      </c>
      <c r="B46" s="15" t="str">
        <f>CSxE_ESE_GSC_FuseCfg!D94</f>
        <v>IP_SKU_Fuse_6_NET_INFRA_MODE</v>
      </c>
    </row>
    <row r="47" spans="1:2" x14ac:dyDescent="0.3">
      <c r="A47" s="15" t="str">
        <f>CSxE_ESE_GSC_FuseCfg_1!D95</f>
        <v>NFC_Disable</v>
      </c>
      <c r="B47" s="15" t="str">
        <f>CSxE_ESE_GSC_FuseCfg!D95</f>
        <v>NFC_Disable</v>
      </c>
    </row>
    <row r="48" spans="1:2" x14ac:dyDescent="0.3">
      <c r="A48" s="15" t="str">
        <f>CSxE_ESE_GSC_FuseCfg_1!D96</f>
        <v>WiDi_Disable</v>
      </c>
      <c r="B48" s="15" t="str">
        <f>CSxE_ESE_GSC_FuseCfg!D96</f>
        <v>WiDi_Disable</v>
      </c>
    </row>
    <row r="49" spans="1:2" x14ac:dyDescent="0.3">
      <c r="A49" s="15" t="str">
        <f>CSxE_ESE_GSC_FuseCfg_1!D97</f>
        <v>OEM_IFP_Disable</v>
      </c>
      <c r="B49" s="15" t="str">
        <f>CSxE_ESE_GSC_FuseCfg!D97</f>
        <v>OEM_IFP_Disable</v>
      </c>
    </row>
    <row r="50" spans="1:2" x14ac:dyDescent="0.3">
      <c r="A50" s="15" t="str">
        <f>CSxE_ESE_GSC_FuseCfg_1!D98</f>
        <v>iCLS_Disable</v>
      </c>
      <c r="B50" s="15" t="str">
        <f>CSxE_ESE_GSC_FuseCfg!D98</f>
        <v>iCLS_Disable</v>
      </c>
    </row>
    <row r="51" spans="1:2" x14ac:dyDescent="0.3">
      <c r="A51" s="15" t="str">
        <f>CSxE_ESE_GSC_FuseCfg_1!D99</f>
        <v>IP_SPI_Boot_EN</v>
      </c>
      <c r="B51" s="15" t="str">
        <f>CSxE_ESE_GSC_FuseCfg!D99</f>
        <v>IP_SPI_Boot_EN</v>
      </c>
    </row>
    <row r="52" spans="1:2" x14ac:dyDescent="0.3">
      <c r="A52" s="15" t="str">
        <f>CSxE_ESE_GSC_FuseCfg_1!D100</f>
        <v>IP_eMMC_Boot_EN</v>
      </c>
      <c r="B52" s="15" t="str">
        <f>CSxE_ESE_GSC_FuseCfg!D100</f>
        <v>IP_eMMC_Boot_EN</v>
      </c>
    </row>
    <row r="53" spans="1:2" x14ac:dyDescent="0.3">
      <c r="A53" s="15" t="str">
        <f>CSxE_ESE_GSC_FuseCfg_1!D101</f>
        <v>IP_UFS_Boot_EN</v>
      </c>
      <c r="B53" s="15" t="str">
        <f>CSxE_ESE_GSC_FuseCfg!D101</f>
        <v>IP_UFS_Boot_EN</v>
      </c>
    </row>
    <row r="54" spans="1:2" x14ac:dyDescent="0.3">
      <c r="A54" s="15" t="str">
        <f>CSxE_ESE_GSC_FuseCfg_1!D102</f>
        <v>FPF_Disable</v>
      </c>
      <c r="B54" s="15" t="str">
        <f>CSxE_ESE_GSC_FuseCfg!D102</f>
        <v>FPF_Disable</v>
      </c>
    </row>
    <row r="55" spans="1:2" x14ac:dyDescent="0.3">
      <c r="A55" s="15" t="str">
        <f>CSxE_ESE_GSC_FuseCfg_1!D103</f>
        <v>Secure_Boot_AnC_Disable</v>
      </c>
      <c r="B55" s="15" t="str">
        <f>CSxE_ESE_GSC_FuseCfg!D103</f>
        <v>Secure_Boot_AnC_Disable</v>
      </c>
    </row>
    <row r="56" spans="1:2" x14ac:dyDescent="0.3">
      <c r="A56" s="15" t="str">
        <f>CSxE_ESE_GSC_FuseCfg_1!D104</f>
        <v>fTPM_Disable</v>
      </c>
      <c r="B56" s="15" t="str">
        <f>CSxE_ESE_GSC_FuseCfg!D104</f>
        <v>fTPM_Disable</v>
      </c>
    </row>
    <row r="57" spans="1:2" x14ac:dyDescent="0.3">
      <c r="A57" s="15" t="str">
        <f>CSxE_ESE_GSC_FuseCfg_1!D105</f>
        <v>ICC_SKU</v>
      </c>
      <c r="B57" s="15" t="str">
        <f>CSxE_ESE_GSC_FuseCfg!D105</f>
        <v>ICC_SKU</v>
      </c>
    </row>
    <row r="58" spans="1:2" x14ac:dyDescent="0.3">
      <c r="A58" s="15" t="str">
        <f>CSxE_ESE_GSC_FuseCfg_1!D106</f>
        <v>FW_Signing_Key_Disables</v>
      </c>
      <c r="B58" s="15" t="str">
        <f>CSxE_ESE_GSC_FuseCfg!D106</f>
        <v>FW_Signing_Key_Disables</v>
      </c>
    </row>
    <row r="59" spans="1:2" x14ac:dyDescent="0.3">
      <c r="A59" s="15" t="str">
        <f>CSxE_ESE_GSC_FuseCfg_1!D107</f>
        <v>IP_SRAM_Bank_Enable</v>
      </c>
      <c r="B59" s="15" t="str">
        <f>CSxE_ESE_GSC_FuseCfg!D107</f>
        <v>IP_SRAM_Bank_Enable</v>
      </c>
    </row>
    <row r="60" spans="1:2" x14ac:dyDescent="0.3">
      <c r="A60" s="15" t="str">
        <f>CSxE_ESE_GSC_FuseCfg_1!D108</f>
        <v>IP_Remote_Wake_Disable</v>
      </c>
      <c r="B60" s="15" t="str">
        <f>CSxE_ESE_GSC_FuseCfg!D108</f>
        <v>IP_Remote_Wake_Disable</v>
      </c>
    </row>
    <row r="61" spans="1:2" x14ac:dyDescent="0.3">
      <c r="A61" s="15" t="str">
        <f>CSxE_ESE_GSC_FuseCfg_1!D109</f>
        <v>UFS_high_speed_dis</v>
      </c>
      <c r="B61" s="15" t="str">
        <f>CSxE_ESE_GSC_FuseCfg!D109</f>
        <v>UFS_high_speed_dis</v>
      </c>
    </row>
    <row r="62" spans="1:2" x14ac:dyDescent="0.3">
      <c r="A62" s="15" t="str">
        <f>CSxE_ESE_GSC_FuseCfg_1!D110</f>
        <v>CSE_CFG_FUSES_VALID</v>
      </c>
      <c r="B62" s="15" t="str">
        <f>CSxE_ESE_GSC_FuseCfg!D110</f>
        <v>CSE_CFG_FUSES_VALID</v>
      </c>
    </row>
    <row r="63" spans="1:2" x14ac:dyDescent="0.3">
      <c r="A63" s="15" t="str">
        <f>CSxE_ESE_GSC_FuseCfg_1!D111</f>
        <v>FB_PLATFORM_ID</v>
      </c>
      <c r="B63" s="15" t="str">
        <f>CSxE_ESE_GSC_FuseCfg!D111</f>
        <v>FB_PLATFORM_ID</v>
      </c>
    </row>
    <row r="64" spans="1:2" x14ac:dyDescent="0.3">
      <c r="A64" s="15" t="str">
        <f>CSxE_ESE_GSC_FuseCfg_1!D112</f>
        <v>SpareFuse</v>
      </c>
      <c r="B64" s="15" t="str">
        <f>CSxE_ESE_GSC_FuseCfg!D112</f>
        <v>SpareFuse</v>
      </c>
    </row>
    <row r="65" spans="1:2" x14ac:dyDescent="0.3">
      <c r="A65" s="15" t="str">
        <f>CSxE_ESE_GSC_FuseCfg_1!D113</f>
        <v>SpareFuse</v>
      </c>
      <c r="B65" s="15" t="str">
        <f>CSxE_ESE_GSC_FuseCfg!D113</f>
        <v>SpareFuse</v>
      </c>
    </row>
    <row r="66" spans="1:2" x14ac:dyDescent="0.3">
      <c r="A66" s="15" t="str">
        <f>CSxE_ESE_GSC_FuseCfg_1!D114</f>
        <v>SpareFuse</v>
      </c>
      <c r="B66" s="15" t="str">
        <f>CSxE_ESE_GSC_FuseCfg!D114</f>
        <v>SpareFuse</v>
      </c>
    </row>
    <row r="67" spans="1:2" x14ac:dyDescent="0.3">
      <c r="A67" s="15" t="str">
        <f>CSxE_ESE_GSC_FuseCfg_1!D115</f>
        <v>FB_STEPPING_ID</v>
      </c>
      <c r="B67" s="15" t="str">
        <f>CSxE_ESE_GSC_FuseCfg!D115</f>
        <v>FB_STEPPING_ID</v>
      </c>
    </row>
    <row r="68" spans="1:2" x14ac:dyDescent="0.3">
      <c r="A68" s="15" t="str">
        <f>CSxE_ESE_GSC_FuseCfg_1!D116</f>
        <v>FB_MODEL_ID</v>
      </c>
      <c r="B68" s="15" t="str">
        <f>CSxE_ESE_GSC_FuseCfg!D116</f>
        <v>FB_MODEL_ID</v>
      </c>
    </row>
    <row r="69" spans="1:2" x14ac:dyDescent="0.3">
      <c r="A69" s="15" t="str">
        <f>CSxE_ESE_GSC_FuseCfg_1!D117</f>
        <v>ROM_ifusekprb</v>
      </c>
      <c r="B69" s="15" t="str">
        <f>CSxE_ESE_GSC_FuseCfg!D117</f>
        <v>ROM_ifusekprb</v>
      </c>
    </row>
    <row r="70" spans="1:2" x14ac:dyDescent="0.3">
      <c r="A70" s="15" t="str">
        <f>CSxE_ESE_GSC_FuseCfg_1!D118</f>
        <v>RF_Write_Assist_Enable_XLLP</v>
      </c>
      <c r="B70" s="15" t="str">
        <f>CSxE_ESE_GSC_FuseCfg!D118</f>
        <v>RF_Write_Assist_Enable_XLLP</v>
      </c>
    </row>
    <row r="71" spans="1:2" x14ac:dyDescent="0.3">
      <c r="A71" s="15" t="str">
        <f>CSxE_ESE_GSC_FuseCfg_1!D119</f>
        <v>RF_Write_Assist_Enable</v>
      </c>
      <c r="B71" s="15" t="str">
        <f>CSxE_ESE_GSC_FuseCfg!D119</f>
        <v>RF_Write_Assist_Enable</v>
      </c>
    </row>
    <row r="72" spans="1:2" x14ac:dyDescent="0.3">
      <c r="A72" s="15" t="str">
        <f>CSxE_ESE_GSC_FuseCfg_1!D120</f>
        <v>Host_PoG_Disable_Fuse</v>
      </c>
      <c r="B72" s="15" t="str">
        <f>CSxE_ESE_GSC_FuseCfg!D120</f>
        <v>Host_PoG_Disable_Fuse</v>
      </c>
    </row>
    <row r="73" spans="1:2" x14ac:dyDescent="0.3">
      <c r="A73" s="15" t="str">
        <f>CSxE_ESE_GSC_FuseCfg_1!D121</f>
        <v>Fuse_DeviceDis_Support</v>
      </c>
      <c r="B73" s="15" t="str">
        <f>CSxE_ESE_GSC_FuseCfg!D121</f>
        <v>Fuse_DeviceDis_Support</v>
      </c>
    </row>
    <row r="74" spans="1:2" x14ac:dyDescent="0.3">
      <c r="A74" s="15" t="str">
        <f>CSxE_ESE_GSC_FuseCfg_1!D122</f>
        <v>TRNG_Zeorize Enable</v>
      </c>
      <c r="B74" s="15" t="str">
        <f>CSxE_ESE_GSC_FuseCfg!D122</f>
        <v xml:space="preserve">SpareFuse </v>
      </c>
    </row>
    <row r="75" spans="1:2" x14ac:dyDescent="0.3">
      <c r="A75" s="15" t="str">
        <f>CSxE_ESE_GSC_FuseCfg_1!D123</f>
        <v xml:space="preserve">DISABLE_MROM </v>
      </c>
      <c r="B75" s="15" t="str">
        <f>CSxE_ESE_GSC_FuseCfg!D123</f>
        <v xml:space="preserve">DISABLE_MROM </v>
      </c>
    </row>
    <row r="76" spans="1:2" x14ac:dyDescent="0.3">
      <c r="A76" s="15" t="str">
        <f>CSxE_ESE_GSC_FuseCfg_1!D124</f>
        <v>MROM_BAR_DISABLE</v>
      </c>
      <c r="B76" s="15" t="str">
        <f>CSxE_ESE_GSC_FuseCfg!D124</f>
        <v>MROM_BAR_DISABLE</v>
      </c>
    </row>
    <row r="77" spans="1:2" x14ac:dyDescent="0.3">
      <c r="A77" s="15" t="str">
        <f>CSxE_ESE_GSC_FuseCfg_1!D125</f>
        <v>OCS_SELF_TEST_ENABLE_FUSE</v>
      </c>
      <c r="B77" s="15" t="str">
        <f>CSxE_ESE_GSC_FuseCfg!D125</f>
        <v>OCS_SELF_TEST_ENABLE_FUSE</v>
      </c>
    </row>
    <row r="78" spans="1:2" x14ac:dyDescent="0.3">
      <c r="A78" s="15" t="str">
        <f>CSxE_ESE_GSC_FuseCfg_1!D126</f>
        <v>IP_HSIO_SKU_Limit</v>
      </c>
      <c r="B78" s="15" t="str">
        <f>CSxE_ESE_GSC_FuseCfg!D126</f>
        <v>IP_HSIO_SKU_Limit</v>
      </c>
    </row>
    <row r="79" spans="1:2" x14ac:dyDescent="0.3">
      <c r="A79" s="15" t="str">
        <f>CSxE_ESE_GSC_FuseCfg_1!D127</f>
        <v>Testmode_G3_Key_Disable</v>
      </c>
      <c r="B79" s="15" t="str">
        <f>CSxE_ESE_GSC_FuseCfg!D127</f>
        <v>Testmode_G3_Key_Disable</v>
      </c>
    </row>
    <row r="80" spans="1:2" x14ac:dyDescent="0.3">
      <c r="A80" s="15" t="str">
        <f>CSxE_ESE_GSC_FuseCfg_1!D128</f>
        <v>ONDIE_CA_ENABLED</v>
      </c>
      <c r="B80" s="15" t="str">
        <f>CSxE_ESE_GSC_FuseCfg!D128</f>
        <v>ONDIE_CA_ENABLED</v>
      </c>
    </row>
    <row r="81" spans="1:2" x14ac:dyDescent="0.3">
      <c r="A81" s="15" t="str">
        <f>CSxE_ESE_GSC_FuseCfg_1!D129</f>
        <v>HW_OCS_PUF_Test_Key_Disable</v>
      </c>
      <c r="B81" s="15" t="str">
        <f>CSxE_ESE_GSC_FuseCfg!D129</f>
        <v>HW_OCS_PUF_Test_Key_Disable</v>
      </c>
    </row>
    <row r="82" spans="1:2" x14ac:dyDescent="0.3">
      <c r="A82" s="15" t="str">
        <f>CSxE_ESE_GSC_FuseCfg_1!D130</f>
        <v>HW_PUF_HVM_MODE_Disable</v>
      </c>
      <c r="B82" s="15" t="str">
        <f>CSxE_ESE_GSC_FuseCfg!D130</f>
        <v>HW_PUF_HVM_MODE_Disable</v>
      </c>
    </row>
    <row r="83" spans="1:2" x14ac:dyDescent="0.3">
      <c r="A83" s="15" t="str">
        <f>CSxE_ESE_GSC_FuseCfg_1!D131</f>
        <v>HW_PUF_Auto_Key_Gen</v>
      </c>
      <c r="B83" s="15" t="str">
        <f>CSxE_ESE_GSC_FuseCfg!D131</f>
        <v>HW_PUF_Auto_Key_Gen</v>
      </c>
    </row>
    <row r="84" spans="1:2" x14ac:dyDescent="0.3">
      <c r="A84" s="15" t="str">
        <f>CSxE_ESE_GSC_FuseCfg_1!D132</f>
        <v>Rom_clear_data_on_exit_points_en</v>
      </c>
      <c r="B84" s="15" t="str">
        <f>CSxE_ESE_GSC_FuseCfg!D132</f>
        <v>Rom_clear_data_on_exit_points_en</v>
      </c>
    </row>
    <row r="85" spans="1:2" x14ac:dyDescent="0.3">
      <c r="A85" s="15" t="str">
        <f>CSxE_ESE_GSC_FuseCfg_1!D133</f>
        <v>ROM_DRNG_SAI_CHECK_EN</v>
      </c>
      <c r="B85" s="15" t="str">
        <f>CSxE_ESE_GSC_FuseCfg!D133</f>
        <v>ROM_DRNG_SAI_CHECK_EN</v>
      </c>
    </row>
    <row r="86" spans="1:2" x14ac:dyDescent="0.3">
      <c r="A86" s="15" t="str">
        <f>CSxE_ESE_GSC_FuseCfg_1!D134</f>
        <v>TRNG_SEI_ENABLE_fuse</v>
      </c>
      <c r="B86" s="15" t="str">
        <f>CSxE_ESE_GSC_FuseCfg!D134</f>
        <v>SpareFuse</v>
      </c>
    </row>
    <row r="87" spans="1:2" x14ac:dyDescent="0.3">
      <c r="A87" s="15" t="str">
        <f>CSxE_ESE_GSC_FuseCfg_1!D135</f>
        <v>DRNG_ERR_HNDL_BYPASS_DISABLE</v>
      </c>
      <c r="B87" s="15" t="str">
        <f>CSxE_ESE_GSC_FuseCfg!D135</f>
        <v>DRNG_ERR_HNDL_BYPASS_DISABLE</v>
      </c>
    </row>
    <row r="88" spans="1:2" x14ac:dyDescent="0.3">
      <c r="A88" s="15" t="str">
        <f>CSxE_ESE_GSC_FuseCfg_1!D136</f>
        <v>RSA_SKIP_DISABLED 
(IP_external_ROM_Bypass?)</v>
      </c>
      <c r="B88" s="15" t="str">
        <f>CSxE_ESE_GSC_FuseCfg!D136</f>
        <v>RSA_SKIP_DISABLED 
(IP_external_ROM_Bypass?)</v>
      </c>
    </row>
    <row r="89" spans="1:2" x14ac:dyDescent="0.3">
      <c r="A89" s="15" t="str">
        <f>CSxE_ESE_GSC_FuseCfg_1!D137</f>
        <v>DSWRAM_DSX_CLEAR_SIZE_64B</v>
      </c>
      <c r="B89" s="15" t="str">
        <f>CSxE_ESE_GSC_FuseCfg!D137</f>
        <v>DSWRAM_DSX_CLEAR_SIZE_64B</v>
      </c>
    </row>
    <row r="90" spans="1:2" x14ac:dyDescent="0.3">
      <c r="A90" s="15" t="str">
        <f>CSxE_ESE_GSC_FuseCfg_1!D138</f>
        <v>MEASUREMENT_EXTENSION_SUPP</v>
      </c>
      <c r="B90" s="15" t="str">
        <f>CSxE_ESE_GSC_FuseCfg!D138</f>
        <v>MEASUREMENT_EXTENSION_SUPP</v>
      </c>
    </row>
    <row r="91" spans="1:2" x14ac:dyDescent="0.3">
      <c r="A91" s="15" t="str">
        <f>CSxE_ESE_GSC_FuseCfg_1!D139</f>
        <v>TRC_GLITCH_DETECTION_DELAY</v>
      </c>
      <c r="B91" s="15" t="str">
        <f>CSxE_ESE_GSC_FuseCfg!D139</f>
        <v>TRC_GLITCH_DETECTION_DELAY</v>
      </c>
    </row>
    <row r="92" spans="1:2" x14ac:dyDescent="0.3">
      <c r="A92" s="15" t="str">
        <f>CSxE_ESE_GSC_FuseCfg_1!D140</f>
        <v>TRC_HIP_CONFIG</v>
      </c>
      <c r="B92" s="15" t="str">
        <f>CSxE_ESE_GSC_FuseCfg!D140</f>
        <v>TRC_HIP_CONFIG</v>
      </c>
    </row>
    <row r="93" spans="1:2" x14ac:dyDescent="0.3">
      <c r="A93" s="15" t="str">
        <f>CSxE_ESE_GSC_FuseCfg_1!D141</f>
        <v>TRC_GLITCH_SPARE_CONFIG</v>
      </c>
      <c r="B93" s="15" t="str">
        <f>CSxE_ESE_GSC_FuseCfg!D141</f>
        <v>TRC_GLITCH_SPARE_CONFIG</v>
      </c>
    </row>
    <row r="94" spans="1:2" x14ac:dyDescent="0.3">
      <c r="A94" s="15" t="str">
        <f>CSxE_ESE_GSC_FuseCfg_1!D142</f>
        <v>TRC_GLITCH_DETECTION_ENABLE</v>
      </c>
      <c r="B94" s="15" t="str">
        <f>CSxE_ESE_GSC_FuseCfg!D142</f>
        <v>TRC_GLITCH_DETECTION_ENABLE</v>
      </c>
    </row>
    <row r="95" spans="1:2" x14ac:dyDescent="0.3">
      <c r="A95" s="15" t="str">
        <f>CSxE_ESE_GSC_FuseCfg_1!D143</f>
        <v>FUSE_RECIPE_NUMBER</v>
      </c>
      <c r="B95" s="15" t="str">
        <f>CSxE_ESE_GSC_FuseCfg!D143</f>
        <v>FUSE_RECIPE_NUMBER</v>
      </c>
    </row>
    <row r="96" spans="1:2" x14ac:dyDescent="0.3">
      <c r="A96" s="15" t="str">
        <f>CSxE_ESE_GSC_FuseCfg_1!D144</f>
        <v>FUSES_4_FW_USAGE</v>
      </c>
      <c r="B96" s="15" t="str">
        <f>CSxE_ESE_GSC_FuseCfg!D144</f>
        <v>FUSES_4_FW_USAGE</v>
      </c>
    </row>
    <row r="97" spans="1:2" x14ac:dyDescent="0.3">
      <c r="A97" s="15" t="str">
        <f>CSxE_ESE_GSC_FuseCfg_1!D145</f>
        <v>FUSES_4_BIOS_CONFIG</v>
      </c>
      <c r="B97" s="15" t="str">
        <f>CSxE_ESE_GSC_FuseCfg!D145</f>
        <v>FUSES_4_BIOS_CONFIG</v>
      </c>
    </row>
    <row r="98" spans="1:2" x14ac:dyDescent="0.3">
      <c r="A98" s="15" t="str">
        <f>CSxE_ESE_GSC_FuseCfg_1!D146</f>
        <v>FUSES_4_DETECTION_ENABLE</v>
      </c>
      <c r="B98" s="15" t="str">
        <f>CSxE_ESE_GSC_FuseCfg!D146</f>
        <v>FUSES_4_DETECTION_ENABLE</v>
      </c>
    </row>
    <row r="99" spans="1:2" x14ac:dyDescent="0.3">
      <c r="A99" s="15" t="str">
        <f>CSxE_ESE_GSC_FuseCfg_1!D147</f>
        <v>RF_TRIM_FUSES</v>
      </c>
      <c r="B99" s="15" t="str">
        <f>CSxE_ESE_GSC_FuseCfg!D147</f>
        <v>RF_TRIM_FUSES</v>
      </c>
    </row>
    <row r="100" spans="1:2" x14ac:dyDescent="0.3">
      <c r="A100" s="15" t="str">
        <f>CSxE_ESE_GSC_FuseCfg_1!D148</f>
        <v>TRIM_FUSE_RSVD</v>
      </c>
      <c r="B100" s="15" t="str">
        <f>CSxE_ESE_GSC_FuseCfg!D148</f>
        <v>TRIM_FUSE_RSVD</v>
      </c>
    </row>
    <row r="101" spans="1:2" x14ac:dyDescent="0.3">
      <c r="A101" s="15" t="str">
        <f>CSxE_ESE_GSC_FuseCfg_1!D149</f>
        <v>ROM_TRIM_FUSES</v>
      </c>
      <c r="B101" s="15" t="str">
        <f>CSxE_ESE_GSC_FuseCfg!D149</f>
        <v>ROM_TRIM_FUSES</v>
      </c>
    </row>
    <row r="102" spans="1:2" x14ac:dyDescent="0.3">
      <c r="A102" s="15" t="str">
        <f>CSxE_ESE_GSC_FuseCfg_1!D150</f>
        <v>CFMIA_RF_REPAIR_FUSES</v>
      </c>
      <c r="B102" s="15" t="str">
        <f>CSxE_ESE_GSC_FuseCfg!D150</f>
        <v>CFMIA_RF_REPAIR_FUSES</v>
      </c>
    </row>
    <row r="103" spans="1:2" x14ac:dyDescent="0.3">
      <c r="A103" s="15" t="str">
        <f>CSxE_ESE_GSC_FuseCfg_1!D151</f>
        <v>PG_RF_REPAIR_FUSES</v>
      </c>
      <c r="B103" s="15" t="str">
        <f>CSxE_ESE_GSC_FuseCfg!D151</f>
        <v>PG_RF_REPAIR_FUSES</v>
      </c>
    </row>
    <row r="104" spans="1:2" x14ac:dyDescent="0.3">
      <c r="A104" s="15" t="str">
        <f>CSxE_ESE_GSC_FuseCfg_1!D152</f>
        <v>AON_RF_REPAIR_FUSES</v>
      </c>
      <c r="B104" s="15" t="str">
        <f>CSxE_ESE_GSC_FuseCfg!D152</f>
        <v>AON_RF_REPAIR_FUSES</v>
      </c>
    </row>
    <row r="105" spans="1:2" x14ac:dyDescent="0.3">
      <c r="A105" s="15" t="str">
        <f>CSxE_ESE_GSC_FuseCfg_1!D153</f>
        <v>IP_INTCHK_HW_CFG_CRC_VAL</v>
      </c>
      <c r="B105" s="15" t="str">
        <f>CSxE_ESE_GSC_FuseCfg!D153</f>
        <v>IP_INTCHK_HW_CFG_CRC_VAL</v>
      </c>
    </row>
    <row r="106" spans="1:2" x14ac:dyDescent="0.3">
      <c r="A106" s="15" t="str">
        <f>CSxE_ESE_GSC_FuseCfg_1!D154</f>
        <v>IP_INTCHK_RSVD_23_16</v>
      </c>
      <c r="B106" s="15" t="str">
        <f>CSxE_ESE_GSC_FuseCfg!D154</f>
        <v>IP_INTCHK_RSVD_23_16</v>
      </c>
    </row>
    <row r="107" spans="1:2" x14ac:dyDescent="0.3">
      <c r="A107" s="15" t="str">
        <f>CSxE_ESE_GSC_FuseCfg_1!D155</f>
        <v>IP_INTCHK_FUSECRCCHK</v>
      </c>
      <c r="B107" s="15" t="str">
        <f>CSxE_ESE_GSC_FuseCfg!D155</f>
        <v>IP_INTCHK_FUSECRCCHK</v>
      </c>
    </row>
    <row r="108" spans="1:2" x14ac:dyDescent="0.3">
      <c r="A108" s="15" t="str">
        <f>CSxE_ESE_GSC_FuseCfg_1!D156</f>
        <v>IP_INTCHK_RSVD_31_28</v>
      </c>
      <c r="B108" s="15" t="str">
        <f>CSxE_ESE_GSC_FuseCfg!D156</f>
        <v>IP_INTCHK_RSVD_31_28</v>
      </c>
    </row>
    <row r="109" spans="1:2" x14ac:dyDescent="0.3">
      <c r="A109" s="15" t="str">
        <f>CSxE_ESE_GSC_FuseCfg_1!D157</f>
        <v>Security_Keys</v>
      </c>
      <c r="B109" s="15" t="str">
        <f>CSxE_ESE_GSC_FuseCfg!D157</f>
        <v>Security_Keys</v>
      </c>
    </row>
    <row r="110" spans="1:2" x14ac:dyDescent="0.3">
      <c r="A110" s="15" t="str">
        <f>CSxE_ESE_GSC_FuseCfg_1!D158</f>
        <v>Security_Keys_fuse_Check_Hash</v>
      </c>
      <c r="B110" s="15" t="str">
        <f>CSxE_ESE_GSC_FuseCfg!D158</f>
        <v>Security_Keys_fuse_Check_Hash</v>
      </c>
    </row>
    <row r="111" spans="1:2" x14ac:dyDescent="0.3">
      <c r="A111" s="15" t="str">
        <f>CSxE_ESE_GSC_FuseCfg_1!D159</f>
        <v>Debug_Enabled_Security_Key</v>
      </c>
      <c r="B111" s="15" t="str">
        <f>CSxE_ESE_GSC_FuseCfg!D159</f>
        <v>Debug_Enabled_Security_Key</v>
      </c>
    </row>
    <row r="112" spans="1:2" x14ac:dyDescent="0.3">
      <c r="A112" s="15" t="str">
        <f>CSxE_ESE_GSC_FuseCfg_1!D160</f>
        <v>Debug_Enabled_Encryption_Key</v>
      </c>
      <c r="B112" s="15" t="str">
        <f>CSxE_ESE_GSC_FuseCfg!D160</f>
        <v>Debug_Enabled_Encryption_Key</v>
      </c>
    </row>
    <row r="113" spans="1:2" x14ac:dyDescent="0.3">
      <c r="A113" s="15" t="str">
        <f>CSxE_ESE_GSC_FuseCfg_1!D161</f>
        <v>Security_Fuses_Valid</v>
      </c>
      <c r="B113" s="15" t="str">
        <f>CSxE_ESE_GSC_FuseCfg!D161</f>
        <v>Security_Fuses_Valid</v>
      </c>
    </row>
    <row r="114" spans="1:2" x14ac:dyDescent="0.3">
      <c r="A114" s="15" t="str">
        <f>CSxE_ESE_GSC_FuseCfg_1!D162</f>
        <v>ECC_P384_ONDIE_ROM_CERT</v>
      </c>
      <c r="B114" s="15" t="str">
        <f>CSxE_ESE_GSC_FuseCfg!D162</f>
        <v>ECC_P384_ONDIE_ROM_CERT</v>
      </c>
    </row>
    <row r="115" spans="1:2" x14ac:dyDescent="0.3">
      <c r="A115" s="15" t="str">
        <f>CSxE_ESE_GSC_FuseCfg_1!D163</f>
        <v>FW_CONFIG_FUSES</v>
      </c>
      <c r="B115" s="15" t="str">
        <f>CSxE_ESE_GSC_FuseCfg!D163</f>
        <v>FW_CONFIG_FUSES</v>
      </c>
    </row>
    <row r="116" spans="1:2" x14ac:dyDescent="0.3">
      <c r="A116" s="15" t="str">
        <f>CSxE_ESE_GSC_FuseCfg_1!D164</f>
        <v>GENERAL_FW_FUSES_CHECK</v>
      </c>
      <c r="B116" s="15" t="str">
        <f>CSxE_ESE_GSC_FuseCfg!D164</f>
        <v>GENERAL_FW_FUSES_CHECK</v>
      </c>
    </row>
    <row r="117" spans="1:2" x14ac:dyDescent="0.3">
      <c r="A117" s="15" t="str">
        <f>CSxE_ESE_GSC_FuseCfg_1!D165</f>
        <v>ECC_P384_ONDIE_CERT_ATTRIBUTE</v>
      </c>
      <c r="B117" s="15" t="str">
        <f>CSxE_ESE_GSC_FuseCfg!D165</f>
        <v>ECC_P384_ONDIE_CERT_ATTRIBUTE</v>
      </c>
    </row>
    <row r="118" spans="1:2" x14ac:dyDescent="0.3">
      <c r="A118" s="15" t="str">
        <f>CSxE_ESE_GSC_FuseCfg_1!D166</f>
        <v>HW_OCS_PUF_ECC</v>
      </c>
      <c r="B118" s="15" t="str">
        <f>CSxE_ESE_GSC_FuseCfg!D166</f>
        <v>HW_OCS_PUF_ECC</v>
      </c>
    </row>
    <row r="119" spans="1:2" x14ac:dyDescent="0.3">
      <c r="A119" s="15" t="str">
        <f>CSxE_ESE_GSC_FuseCfg_1!D167</f>
        <v>FW_Fuses_Valid</v>
      </c>
      <c r="B119" s="15" t="str">
        <f>CSxE_ESE_GSC_FuseCfg!D167</f>
        <v>FW_Fuses_Valid</v>
      </c>
    </row>
    <row r="120" spans="1:2" x14ac:dyDescent="0.3">
      <c r="A120" s="15" t="str">
        <f>CSxE_ESE_GSC_FuseCfg_1!D168</f>
        <v>IP_ROM_Bypass_Enable_Softstrap</v>
      </c>
      <c r="B120" s="15" t="str">
        <f>CSxE_ESE_GSC_FuseCfg!D168</f>
        <v>IP_ROM_Bypass_Enable_Softstrap</v>
      </c>
    </row>
  </sheetData>
  <conditionalFormatting sqref="A1:B102">
    <cfRule type="expression" dxfId="559" priority="1">
      <formula>$A1=$B1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C77" workbookViewId="0">
      <selection activeCell="I84" sqref="I84"/>
    </sheetView>
  </sheetViews>
  <sheetFormatPr defaultRowHeight="14.4" x14ac:dyDescent="0.3"/>
  <cols>
    <col min="1" max="1" width="8.88671875" style="15"/>
    <col min="2" max="2" width="32.21875" style="15" customWidth="1"/>
    <col min="3" max="3" width="64.21875" style="15" customWidth="1"/>
    <col min="4" max="4" width="12.2187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1533</v>
      </c>
      <c r="B1" s="15" t="s">
        <v>662</v>
      </c>
      <c r="C1" s="15" t="s">
        <v>1534</v>
      </c>
      <c r="D1" s="15" t="s">
        <v>661</v>
      </c>
      <c r="E1" s="15" t="s">
        <v>1535</v>
      </c>
      <c r="G1" s="15" t="s">
        <v>1536</v>
      </c>
      <c r="H1" s="15" t="s">
        <v>790</v>
      </c>
      <c r="I1" s="15" t="s">
        <v>1602</v>
      </c>
    </row>
    <row r="2" spans="1:9" x14ac:dyDescent="0.3">
      <c r="A2" s="15">
        <v>0</v>
      </c>
      <c r="B2" s="415" t="s">
        <v>64</v>
      </c>
      <c r="C2" s="415" t="s">
        <v>1537</v>
      </c>
      <c r="D2" s="314">
        <v>1</v>
      </c>
      <c r="E2" s="15">
        <v>0</v>
      </c>
      <c r="F2" s="205" t="s">
        <v>65</v>
      </c>
      <c r="G2" s="312" t="s">
        <v>613</v>
      </c>
      <c r="I2" s="412" t="s">
        <v>1430</v>
      </c>
    </row>
    <row r="3" spans="1:9" x14ac:dyDescent="0.3">
      <c r="A3" s="15">
        <v>1</v>
      </c>
      <c r="B3" s="415" t="s">
        <v>67</v>
      </c>
      <c r="C3" s="415" t="s">
        <v>1537</v>
      </c>
      <c r="D3" s="314">
        <v>1</v>
      </c>
      <c r="E3" s="15">
        <f t="shared" ref="E3:E34" si="0">E2+D2</f>
        <v>1</v>
      </c>
      <c r="F3" s="205" t="s">
        <v>68</v>
      </c>
      <c r="G3" s="312" t="s">
        <v>613</v>
      </c>
      <c r="I3" s="412" t="s">
        <v>1429</v>
      </c>
    </row>
    <row r="4" spans="1:9" x14ac:dyDescent="0.3">
      <c r="A4" s="15">
        <v>2</v>
      </c>
      <c r="B4" s="415" t="s">
        <v>71</v>
      </c>
      <c r="C4" s="415" t="s">
        <v>1537</v>
      </c>
      <c r="D4" s="314">
        <v>1</v>
      </c>
      <c r="E4" s="15">
        <f t="shared" si="0"/>
        <v>2</v>
      </c>
      <c r="F4" s="204" t="s">
        <v>72</v>
      </c>
      <c r="G4" s="312" t="s">
        <v>70</v>
      </c>
      <c r="I4" s="412" t="s">
        <v>71</v>
      </c>
    </row>
    <row r="5" spans="1:9" x14ac:dyDescent="0.3">
      <c r="A5" s="15">
        <v>3</v>
      </c>
      <c r="B5" s="415" t="s">
        <v>73</v>
      </c>
      <c r="C5" s="415" t="s">
        <v>1537</v>
      </c>
      <c r="D5" s="314">
        <v>1</v>
      </c>
      <c r="E5" s="15">
        <f t="shared" si="0"/>
        <v>3</v>
      </c>
      <c r="F5" s="205" t="s">
        <v>74</v>
      </c>
      <c r="G5" s="312" t="s">
        <v>613</v>
      </c>
      <c r="I5" s="412" t="s">
        <v>73</v>
      </c>
    </row>
    <row r="6" spans="1:9" ht="43.2" x14ac:dyDescent="0.3">
      <c r="A6" s="15">
        <v>4</v>
      </c>
      <c r="B6" s="415" t="s">
        <v>76</v>
      </c>
      <c r="C6" s="415" t="s">
        <v>1538</v>
      </c>
      <c r="D6" s="314">
        <v>1</v>
      </c>
      <c r="E6" s="15">
        <f t="shared" si="0"/>
        <v>4</v>
      </c>
      <c r="F6" s="204" t="s">
        <v>77</v>
      </c>
      <c r="G6" s="312" t="s">
        <v>75</v>
      </c>
      <c r="H6" s="15">
        <v>0</v>
      </c>
      <c r="I6" s="412" t="s">
        <v>76</v>
      </c>
    </row>
    <row r="7" spans="1:9" x14ac:dyDescent="0.3">
      <c r="A7" s="15">
        <v>5</v>
      </c>
      <c r="B7" s="415" t="s">
        <v>79</v>
      </c>
      <c r="C7" s="415" t="s">
        <v>460</v>
      </c>
      <c r="D7" s="314">
        <v>1</v>
      </c>
      <c r="E7" s="15">
        <f t="shared" si="0"/>
        <v>5</v>
      </c>
      <c r="F7" s="204" t="s">
        <v>80</v>
      </c>
      <c r="G7" s="312" t="s">
        <v>75</v>
      </c>
      <c r="H7" s="15">
        <v>0</v>
      </c>
      <c r="I7" s="412" t="s">
        <v>79</v>
      </c>
    </row>
    <row r="8" spans="1:9" x14ac:dyDescent="0.3">
      <c r="A8" s="15">
        <v>6</v>
      </c>
      <c r="B8" s="415" t="s">
        <v>81</v>
      </c>
      <c r="C8" s="415" t="s">
        <v>1537</v>
      </c>
      <c r="D8" s="314">
        <v>1</v>
      </c>
      <c r="E8" s="15">
        <f t="shared" si="0"/>
        <v>6</v>
      </c>
      <c r="F8" s="205" t="s">
        <v>82</v>
      </c>
      <c r="G8" s="278" t="s">
        <v>1180</v>
      </c>
      <c r="I8" s="412" t="s">
        <v>81</v>
      </c>
    </row>
    <row r="9" spans="1:9" x14ac:dyDescent="0.3">
      <c r="A9" s="15">
        <v>7</v>
      </c>
      <c r="B9" s="415" t="s">
        <v>83</v>
      </c>
      <c r="C9" s="415" t="s">
        <v>1539</v>
      </c>
      <c r="D9" s="314">
        <v>1</v>
      </c>
      <c r="E9" s="15">
        <f t="shared" si="0"/>
        <v>7</v>
      </c>
      <c r="F9" s="205" t="s">
        <v>84</v>
      </c>
      <c r="G9" s="502" t="s">
        <v>1529</v>
      </c>
      <c r="H9" s="15">
        <v>1</v>
      </c>
      <c r="I9" s="412" t="s">
        <v>1420</v>
      </c>
    </row>
    <row r="10" spans="1:9" x14ac:dyDescent="0.3">
      <c r="A10" s="15">
        <v>8</v>
      </c>
      <c r="B10" s="415" t="s">
        <v>85</v>
      </c>
      <c r="C10" s="415" t="s">
        <v>1537</v>
      </c>
      <c r="D10" s="314">
        <v>1</v>
      </c>
      <c r="E10" s="15">
        <f t="shared" si="0"/>
        <v>8</v>
      </c>
      <c r="F10" s="205" t="s">
        <v>86</v>
      </c>
      <c r="G10" s="312" t="s">
        <v>613</v>
      </c>
      <c r="I10" s="412" t="s">
        <v>85</v>
      </c>
    </row>
    <row r="11" spans="1:9" ht="28.8" x14ac:dyDescent="0.3">
      <c r="A11" s="15">
        <v>9</v>
      </c>
      <c r="B11" s="415" t="s">
        <v>811</v>
      </c>
      <c r="C11" s="415" t="s">
        <v>1537</v>
      </c>
      <c r="D11" s="314">
        <v>1</v>
      </c>
      <c r="E11" s="15">
        <f t="shared" si="0"/>
        <v>9</v>
      </c>
      <c r="F11" s="207" t="s">
        <v>88</v>
      </c>
      <c r="G11" s="312" t="s">
        <v>809</v>
      </c>
      <c r="H11" s="15">
        <v>1</v>
      </c>
      <c r="I11" s="412" t="s">
        <v>1416</v>
      </c>
    </row>
    <row r="12" spans="1:9" ht="28.8" x14ac:dyDescent="0.3">
      <c r="A12" s="15">
        <v>10</v>
      </c>
      <c r="B12" s="415" t="s">
        <v>89</v>
      </c>
      <c r="C12" s="415" t="s">
        <v>1540</v>
      </c>
      <c r="D12" s="314">
        <v>1</v>
      </c>
      <c r="E12" s="15">
        <f t="shared" si="0"/>
        <v>10</v>
      </c>
      <c r="F12" s="204" t="s">
        <v>90</v>
      </c>
      <c r="G12" s="312" t="s">
        <v>647</v>
      </c>
      <c r="H12" s="15">
        <v>0</v>
      </c>
      <c r="I12" s="412" t="s">
        <v>1414</v>
      </c>
    </row>
    <row r="13" spans="1:9" x14ac:dyDescent="0.3">
      <c r="A13" s="15">
        <v>11</v>
      </c>
      <c r="B13" s="415" t="s">
        <v>92</v>
      </c>
      <c r="C13" s="415" t="s">
        <v>1537</v>
      </c>
      <c r="D13" s="314">
        <v>1</v>
      </c>
      <c r="E13" s="15">
        <f t="shared" si="0"/>
        <v>11</v>
      </c>
      <c r="F13" s="204" t="s">
        <v>93</v>
      </c>
      <c r="G13" s="312" t="s">
        <v>91</v>
      </c>
      <c r="H13" s="15">
        <v>1</v>
      </c>
      <c r="I13" s="412" t="s">
        <v>1409</v>
      </c>
    </row>
    <row r="14" spans="1:9" ht="57.6" x14ac:dyDescent="0.3">
      <c r="A14" s="15">
        <v>12</v>
      </c>
      <c r="B14" s="415" t="s">
        <v>94</v>
      </c>
      <c r="C14" s="415" t="s">
        <v>1541</v>
      </c>
      <c r="D14" s="314">
        <v>1</v>
      </c>
      <c r="E14" s="15">
        <f t="shared" si="0"/>
        <v>12</v>
      </c>
      <c r="F14" s="204" t="s">
        <v>95</v>
      </c>
      <c r="G14" s="312" t="s">
        <v>649</v>
      </c>
      <c r="H14" s="15">
        <v>1</v>
      </c>
      <c r="I14" s="412" t="s">
        <v>94</v>
      </c>
    </row>
    <row r="15" spans="1:9" x14ac:dyDescent="0.3">
      <c r="A15" s="15">
        <v>13</v>
      </c>
      <c r="B15" s="415" t="s">
        <v>96</v>
      </c>
      <c r="C15" s="415" t="s">
        <v>1537</v>
      </c>
      <c r="D15" s="314">
        <v>1</v>
      </c>
      <c r="E15" s="15">
        <f t="shared" si="0"/>
        <v>13</v>
      </c>
      <c r="F15" s="204" t="s">
        <v>97</v>
      </c>
      <c r="G15" s="312" t="s">
        <v>172</v>
      </c>
      <c r="H15" s="15">
        <v>1</v>
      </c>
      <c r="I15" s="412" t="s">
        <v>96</v>
      </c>
    </row>
    <row r="16" spans="1:9" x14ac:dyDescent="0.3">
      <c r="A16" s="15">
        <v>14</v>
      </c>
      <c r="B16" s="415" t="s">
        <v>98</v>
      </c>
      <c r="C16" s="415" t="s">
        <v>1537</v>
      </c>
      <c r="D16" s="314">
        <v>1</v>
      </c>
      <c r="E16" s="15">
        <f t="shared" si="0"/>
        <v>14</v>
      </c>
      <c r="F16" s="205" t="s">
        <v>99</v>
      </c>
      <c r="G16" s="312" t="s">
        <v>613</v>
      </c>
      <c r="I16" s="412" t="s">
        <v>1581</v>
      </c>
    </row>
    <row r="17" spans="1:9" x14ac:dyDescent="0.3">
      <c r="A17" s="15">
        <v>15</v>
      </c>
      <c r="B17" s="415" t="s">
        <v>101</v>
      </c>
      <c r="C17" s="415" t="s">
        <v>1537</v>
      </c>
      <c r="D17" s="314">
        <v>1</v>
      </c>
      <c r="E17" s="15">
        <f t="shared" si="0"/>
        <v>15</v>
      </c>
      <c r="F17" s="204" t="s">
        <v>102</v>
      </c>
      <c r="G17" s="312" t="s">
        <v>100</v>
      </c>
      <c r="H17" s="15">
        <v>0</v>
      </c>
      <c r="I17" s="412" t="s">
        <v>1582</v>
      </c>
    </row>
    <row r="18" spans="1:9" x14ac:dyDescent="0.3">
      <c r="A18" s="15">
        <v>16</v>
      </c>
      <c r="B18" s="415" t="s">
        <v>103</v>
      </c>
      <c r="C18" s="415" t="s">
        <v>1537</v>
      </c>
      <c r="D18" s="314">
        <v>1</v>
      </c>
      <c r="E18" s="15">
        <f t="shared" si="0"/>
        <v>16</v>
      </c>
      <c r="F18" s="205" t="s">
        <v>104</v>
      </c>
      <c r="G18" s="312" t="s">
        <v>613</v>
      </c>
      <c r="I18" s="412" t="s">
        <v>1395</v>
      </c>
    </row>
    <row r="19" spans="1:9" x14ac:dyDescent="0.3">
      <c r="A19" s="15">
        <v>17</v>
      </c>
      <c r="B19" s="415" t="s">
        <v>105</v>
      </c>
      <c r="C19" s="415" t="s">
        <v>1537</v>
      </c>
      <c r="D19" s="314">
        <v>1</v>
      </c>
      <c r="E19" s="15">
        <f t="shared" si="0"/>
        <v>17</v>
      </c>
      <c r="F19" s="205" t="s">
        <v>106</v>
      </c>
      <c r="G19" s="312" t="s">
        <v>613</v>
      </c>
      <c r="I19" s="412" t="s">
        <v>1394</v>
      </c>
    </row>
    <row r="20" spans="1:9" x14ac:dyDescent="0.3">
      <c r="A20" s="15">
        <v>18</v>
      </c>
      <c r="B20" s="415" t="s">
        <v>107</v>
      </c>
      <c r="C20" s="415" t="s">
        <v>1537</v>
      </c>
      <c r="D20" s="314">
        <v>5</v>
      </c>
      <c r="E20" s="15">
        <f t="shared" si="0"/>
        <v>18</v>
      </c>
      <c r="F20" s="204" t="s">
        <v>1123</v>
      </c>
      <c r="G20" s="312" t="s">
        <v>100</v>
      </c>
      <c r="H20" s="15">
        <v>0</v>
      </c>
    </row>
    <row r="21" spans="1:9" ht="28.8" x14ac:dyDescent="0.3">
      <c r="A21" s="15">
        <v>19</v>
      </c>
      <c r="B21" s="416" t="s">
        <v>109</v>
      </c>
      <c r="C21" s="416" t="s">
        <v>460</v>
      </c>
      <c r="D21" s="341">
        <v>1</v>
      </c>
      <c r="E21" s="15">
        <f t="shared" si="0"/>
        <v>23</v>
      </c>
      <c r="F21" s="204" t="s">
        <v>110</v>
      </c>
      <c r="G21" s="339" t="s">
        <v>108</v>
      </c>
      <c r="H21" s="15">
        <v>0</v>
      </c>
      <c r="I21" s="412" t="s">
        <v>1583</v>
      </c>
    </row>
    <row r="22" spans="1:9" ht="28.8" x14ac:dyDescent="0.3">
      <c r="A22" s="15">
        <v>20</v>
      </c>
      <c r="B22" s="416" t="s">
        <v>111</v>
      </c>
      <c r="C22" s="416" t="s">
        <v>460</v>
      </c>
      <c r="D22" s="341">
        <v>1</v>
      </c>
      <c r="E22" s="15">
        <f t="shared" si="0"/>
        <v>24</v>
      </c>
      <c r="F22" s="204" t="s">
        <v>112</v>
      </c>
      <c r="G22" s="339" t="s">
        <v>108</v>
      </c>
      <c r="H22" s="15">
        <v>0</v>
      </c>
      <c r="I22" s="412" t="s">
        <v>1584</v>
      </c>
    </row>
    <row r="23" spans="1:9" ht="28.8" x14ac:dyDescent="0.3">
      <c r="A23" s="15">
        <v>21</v>
      </c>
      <c r="B23" s="416" t="s">
        <v>113</v>
      </c>
      <c r="C23" s="416" t="s">
        <v>460</v>
      </c>
      <c r="D23" s="341">
        <v>1</v>
      </c>
      <c r="E23" s="15">
        <f t="shared" si="0"/>
        <v>25</v>
      </c>
      <c r="F23" s="204" t="s">
        <v>114</v>
      </c>
      <c r="G23" s="339" t="s">
        <v>108</v>
      </c>
      <c r="H23" s="15">
        <v>0</v>
      </c>
      <c r="I23" s="412" t="s">
        <v>1585</v>
      </c>
    </row>
    <row r="24" spans="1:9" ht="28.8" x14ac:dyDescent="0.3">
      <c r="A24" s="15">
        <v>22</v>
      </c>
      <c r="B24" s="416" t="s">
        <v>115</v>
      </c>
      <c r="C24" s="416" t="s">
        <v>460</v>
      </c>
      <c r="D24" s="341">
        <v>1</v>
      </c>
      <c r="E24" s="15">
        <f t="shared" si="0"/>
        <v>26</v>
      </c>
      <c r="F24" s="204" t="s">
        <v>116</v>
      </c>
      <c r="G24" s="339" t="s">
        <v>108</v>
      </c>
      <c r="H24" s="15">
        <v>0</v>
      </c>
      <c r="I24" s="412" t="s">
        <v>1586</v>
      </c>
    </row>
    <row r="25" spans="1:9" ht="28.8" x14ac:dyDescent="0.3">
      <c r="A25" s="15">
        <v>23</v>
      </c>
      <c r="B25" s="416" t="s">
        <v>117</v>
      </c>
      <c r="C25" s="416" t="s">
        <v>460</v>
      </c>
      <c r="D25" s="341">
        <v>1</v>
      </c>
      <c r="E25" s="15">
        <f t="shared" si="0"/>
        <v>27</v>
      </c>
      <c r="F25" s="204" t="s">
        <v>118</v>
      </c>
      <c r="G25" s="339" t="s">
        <v>108</v>
      </c>
      <c r="H25" s="15">
        <v>0</v>
      </c>
      <c r="I25" s="412" t="s">
        <v>1587</v>
      </c>
    </row>
    <row r="26" spans="1:9" x14ac:dyDescent="0.3">
      <c r="A26" s="15">
        <v>24</v>
      </c>
      <c r="B26" s="415" t="s">
        <v>120</v>
      </c>
      <c r="C26" s="415" t="s">
        <v>460</v>
      </c>
      <c r="D26" s="314">
        <v>1</v>
      </c>
      <c r="E26" s="15">
        <f t="shared" si="0"/>
        <v>28</v>
      </c>
      <c r="F26" s="204" t="s">
        <v>121</v>
      </c>
      <c r="G26" s="312" t="s">
        <v>119</v>
      </c>
      <c r="H26" s="15">
        <v>0</v>
      </c>
      <c r="I26" s="412" t="s">
        <v>1391</v>
      </c>
    </row>
    <row r="27" spans="1:9" x14ac:dyDescent="0.3">
      <c r="A27" s="15">
        <v>25</v>
      </c>
      <c r="B27" s="415" t="s">
        <v>123</v>
      </c>
      <c r="C27" s="415" t="s">
        <v>460</v>
      </c>
      <c r="D27" s="314">
        <v>1</v>
      </c>
      <c r="E27" s="15">
        <f t="shared" si="0"/>
        <v>29</v>
      </c>
      <c r="F27" s="204" t="s">
        <v>124</v>
      </c>
      <c r="G27" s="312" t="s">
        <v>122</v>
      </c>
      <c r="H27" s="15">
        <v>0</v>
      </c>
      <c r="I27" s="412" t="s">
        <v>1390</v>
      </c>
    </row>
    <row r="28" spans="1:9" ht="28.8" x14ac:dyDescent="0.3">
      <c r="A28" s="15">
        <v>26</v>
      </c>
      <c r="B28" s="415" t="s">
        <v>126</v>
      </c>
      <c r="C28" s="415" t="s">
        <v>1542</v>
      </c>
      <c r="D28" s="314">
        <v>1</v>
      </c>
      <c r="E28" s="15">
        <f t="shared" si="0"/>
        <v>30</v>
      </c>
      <c r="F28" s="204" t="s">
        <v>127</v>
      </c>
      <c r="G28" s="312" t="s">
        <v>125</v>
      </c>
      <c r="H28" s="15">
        <v>1</v>
      </c>
      <c r="I28" s="412" t="s">
        <v>126</v>
      </c>
    </row>
    <row r="29" spans="1:9" x14ac:dyDescent="0.3">
      <c r="A29" s="15">
        <v>27</v>
      </c>
      <c r="B29" s="415" t="s">
        <v>129</v>
      </c>
      <c r="C29" s="415" t="s">
        <v>1537</v>
      </c>
      <c r="D29" s="314">
        <v>3</v>
      </c>
      <c r="E29" s="15">
        <f t="shared" si="0"/>
        <v>31</v>
      </c>
      <c r="F29" s="204" t="s">
        <v>130</v>
      </c>
      <c r="G29" s="312" t="s">
        <v>100</v>
      </c>
      <c r="H29" s="15">
        <v>0</v>
      </c>
    </row>
    <row r="30" spans="1:9" ht="28.2" customHeight="1" x14ac:dyDescent="0.3">
      <c r="A30" s="15">
        <v>28</v>
      </c>
      <c r="B30" s="416" t="s">
        <v>131</v>
      </c>
      <c r="C30" s="416" t="s">
        <v>1543</v>
      </c>
      <c r="D30" s="341">
        <v>1</v>
      </c>
      <c r="E30" s="15">
        <f t="shared" si="0"/>
        <v>34</v>
      </c>
      <c r="F30" s="204" t="s">
        <v>132</v>
      </c>
      <c r="G30" s="339" t="s">
        <v>108</v>
      </c>
      <c r="H30" s="15">
        <v>0</v>
      </c>
      <c r="I30" s="412" t="s">
        <v>1588</v>
      </c>
    </row>
    <row r="31" spans="1:9" x14ac:dyDescent="0.3">
      <c r="A31" s="15">
        <v>29</v>
      </c>
      <c r="B31" s="416" t="s">
        <v>1301</v>
      </c>
      <c r="C31" s="416" t="s">
        <v>460</v>
      </c>
      <c r="D31" s="341">
        <v>1</v>
      </c>
      <c r="E31" s="15">
        <f t="shared" si="0"/>
        <v>35</v>
      </c>
      <c r="F31" s="204" t="s">
        <v>374</v>
      </c>
      <c r="G31" s="339" t="s">
        <v>48</v>
      </c>
      <c r="I31" s="412" t="s">
        <v>1589</v>
      </c>
    </row>
    <row r="32" spans="1:9" ht="28.8" x14ac:dyDescent="0.3">
      <c r="A32" s="15">
        <v>30</v>
      </c>
      <c r="B32" s="416" t="s">
        <v>376</v>
      </c>
      <c r="C32" s="416" t="s">
        <v>1544</v>
      </c>
      <c r="D32" s="341">
        <v>1</v>
      </c>
      <c r="E32" s="15">
        <f t="shared" si="0"/>
        <v>36</v>
      </c>
      <c r="F32" s="204" t="s">
        <v>375</v>
      </c>
      <c r="G32" s="339" t="s">
        <v>1148</v>
      </c>
      <c r="H32" s="15">
        <v>0</v>
      </c>
      <c r="I32" s="412" t="s">
        <v>1590</v>
      </c>
    </row>
    <row r="33" spans="1:9" ht="28.2" customHeight="1" x14ac:dyDescent="0.3">
      <c r="A33" s="15">
        <v>31</v>
      </c>
      <c r="B33" s="417" t="s">
        <v>134</v>
      </c>
      <c r="C33" s="415" t="s">
        <v>1544</v>
      </c>
      <c r="D33" s="314">
        <v>1</v>
      </c>
      <c r="E33" s="15">
        <f t="shared" si="0"/>
        <v>37</v>
      </c>
      <c r="F33" s="204" t="s">
        <v>135</v>
      </c>
      <c r="G33" s="312" t="s">
        <v>133</v>
      </c>
      <c r="H33" s="15">
        <v>0</v>
      </c>
      <c r="I33" s="412" t="s">
        <v>1385</v>
      </c>
    </row>
    <row r="34" spans="1:9" ht="28.2" customHeight="1" x14ac:dyDescent="0.3">
      <c r="A34" s="15">
        <v>32</v>
      </c>
      <c r="B34" s="415" t="s">
        <v>136</v>
      </c>
      <c r="C34" s="415" t="s">
        <v>1543</v>
      </c>
      <c r="D34" s="314">
        <v>1</v>
      </c>
      <c r="E34" s="15">
        <f t="shared" si="0"/>
        <v>38</v>
      </c>
      <c r="F34" s="204" t="s">
        <v>137</v>
      </c>
      <c r="G34" s="312" t="s">
        <v>125</v>
      </c>
      <c r="H34" s="15">
        <v>1</v>
      </c>
      <c r="I34" s="412" t="s">
        <v>1383</v>
      </c>
    </row>
    <row r="35" spans="1:9" x14ac:dyDescent="0.3">
      <c r="A35" s="15">
        <v>33</v>
      </c>
      <c r="B35" s="415" t="s">
        <v>138</v>
      </c>
      <c r="C35" s="415" t="s">
        <v>1537</v>
      </c>
      <c r="D35" s="314">
        <v>1</v>
      </c>
      <c r="E35" s="15">
        <f t="shared" ref="E35:E66" si="1">E34+D34</f>
        <v>39</v>
      </c>
      <c r="F35" s="205" t="s">
        <v>139</v>
      </c>
      <c r="G35" s="312" t="s">
        <v>613</v>
      </c>
      <c r="I35" s="412" t="s">
        <v>138</v>
      </c>
    </row>
    <row r="36" spans="1:9" x14ac:dyDescent="0.3">
      <c r="A36" s="15">
        <v>34</v>
      </c>
      <c r="B36" s="415" t="s">
        <v>142</v>
      </c>
      <c r="C36" s="415" t="s">
        <v>460</v>
      </c>
      <c r="D36" s="314">
        <v>1</v>
      </c>
      <c r="E36" s="15">
        <f t="shared" si="1"/>
        <v>40</v>
      </c>
      <c r="F36" s="204" t="s">
        <v>143</v>
      </c>
      <c r="G36" s="312" t="s">
        <v>640</v>
      </c>
      <c r="H36" s="15">
        <v>0</v>
      </c>
      <c r="I36" s="412" t="s">
        <v>142</v>
      </c>
    </row>
    <row r="37" spans="1:9" x14ac:dyDescent="0.3">
      <c r="A37" s="15">
        <v>35</v>
      </c>
      <c r="B37" s="415" t="s">
        <v>145</v>
      </c>
      <c r="C37" s="415" t="s">
        <v>460</v>
      </c>
      <c r="D37" s="314">
        <v>1</v>
      </c>
      <c r="E37" s="15">
        <f t="shared" si="1"/>
        <v>41</v>
      </c>
      <c r="F37" s="204" t="s">
        <v>146</v>
      </c>
      <c r="G37" s="312" t="s">
        <v>144</v>
      </c>
      <c r="H37" s="15">
        <v>0</v>
      </c>
      <c r="I37" s="412" t="s">
        <v>145</v>
      </c>
    </row>
    <row r="38" spans="1:9" x14ac:dyDescent="0.3">
      <c r="A38" s="15">
        <v>36</v>
      </c>
      <c r="B38" s="415" t="s">
        <v>148</v>
      </c>
      <c r="C38" s="415" t="s">
        <v>460</v>
      </c>
      <c r="D38" s="314">
        <v>1</v>
      </c>
      <c r="E38" s="15">
        <f t="shared" si="1"/>
        <v>42</v>
      </c>
      <c r="F38" s="204" t="s">
        <v>149</v>
      </c>
      <c r="G38" s="312" t="s">
        <v>147</v>
      </c>
      <c r="H38" s="15">
        <v>0</v>
      </c>
      <c r="I38" s="412" t="s">
        <v>148</v>
      </c>
    </row>
    <row r="39" spans="1:9" x14ac:dyDescent="0.3">
      <c r="A39" s="15">
        <v>37</v>
      </c>
      <c r="B39" s="415" t="s">
        <v>150</v>
      </c>
      <c r="C39" s="415" t="s">
        <v>460</v>
      </c>
      <c r="D39" s="314">
        <v>1</v>
      </c>
      <c r="E39" s="15">
        <f t="shared" si="1"/>
        <v>43</v>
      </c>
      <c r="F39" s="205" t="s">
        <v>151</v>
      </c>
      <c r="G39" s="279" t="s">
        <v>1182</v>
      </c>
      <c r="H39" s="15">
        <v>0</v>
      </c>
      <c r="I39" s="412" t="s">
        <v>1375</v>
      </c>
    </row>
    <row r="40" spans="1:9" x14ac:dyDescent="0.3">
      <c r="A40" s="15">
        <v>38</v>
      </c>
      <c r="B40" s="415" t="s">
        <v>153</v>
      </c>
      <c r="C40" s="415" t="s">
        <v>460</v>
      </c>
      <c r="D40" s="314">
        <v>1</v>
      </c>
      <c r="E40" s="15">
        <f t="shared" si="1"/>
        <v>44</v>
      </c>
      <c r="F40" s="204" t="s">
        <v>154</v>
      </c>
      <c r="G40" s="312" t="s">
        <v>643</v>
      </c>
      <c r="H40" s="15">
        <v>0</v>
      </c>
      <c r="I40" s="412" t="s">
        <v>153</v>
      </c>
    </row>
    <row r="41" spans="1:9" x14ac:dyDescent="0.3">
      <c r="A41" s="15">
        <v>39</v>
      </c>
      <c r="B41" s="415" t="s">
        <v>155</v>
      </c>
      <c r="C41" s="415" t="s">
        <v>1545</v>
      </c>
      <c r="D41" s="314">
        <v>1</v>
      </c>
      <c r="E41" s="15">
        <f t="shared" si="1"/>
        <v>45</v>
      </c>
      <c r="F41" s="204" t="s">
        <v>156</v>
      </c>
      <c r="G41" s="312" t="s">
        <v>636</v>
      </c>
      <c r="H41" s="15">
        <v>0</v>
      </c>
      <c r="I41" s="412" t="s">
        <v>1371</v>
      </c>
    </row>
    <row r="42" spans="1:9" x14ac:dyDescent="0.3">
      <c r="A42" s="15">
        <v>40</v>
      </c>
      <c r="B42" s="415" t="s">
        <v>157</v>
      </c>
      <c r="C42" s="415" t="s">
        <v>460</v>
      </c>
      <c r="D42" s="314">
        <v>1</v>
      </c>
      <c r="E42" s="15">
        <f t="shared" si="1"/>
        <v>46</v>
      </c>
      <c r="F42" s="205" t="s">
        <v>158</v>
      </c>
      <c r="G42" s="269" t="s">
        <v>157</v>
      </c>
      <c r="H42" s="15">
        <v>0</v>
      </c>
      <c r="I42" s="412" t="s">
        <v>157</v>
      </c>
    </row>
    <row r="43" spans="1:9" x14ac:dyDescent="0.3">
      <c r="A43" s="15">
        <v>41</v>
      </c>
      <c r="B43" s="415" t="s">
        <v>159</v>
      </c>
      <c r="C43" s="415" t="s">
        <v>1537</v>
      </c>
      <c r="D43" s="314">
        <v>1</v>
      </c>
      <c r="E43" s="15">
        <f t="shared" si="1"/>
        <v>47</v>
      </c>
      <c r="F43" s="204" t="s">
        <v>160</v>
      </c>
      <c r="G43" s="312" t="s">
        <v>645</v>
      </c>
      <c r="H43" s="15">
        <v>1</v>
      </c>
      <c r="I43" s="412" t="s">
        <v>1368</v>
      </c>
    </row>
    <row r="44" spans="1:9" x14ac:dyDescent="0.3">
      <c r="A44" s="15">
        <v>42</v>
      </c>
      <c r="B44" s="415" t="s">
        <v>161</v>
      </c>
      <c r="C44" s="415" t="s">
        <v>1545</v>
      </c>
      <c r="D44" s="314">
        <v>1</v>
      </c>
      <c r="E44" s="15">
        <f t="shared" si="1"/>
        <v>48</v>
      </c>
      <c r="F44" s="204" t="s">
        <v>162</v>
      </c>
      <c r="G44" s="312" t="s">
        <v>641</v>
      </c>
      <c r="H44" s="15">
        <v>0</v>
      </c>
      <c r="I44" s="412" t="s">
        <v>1365</v>
      </c>
    </row>
    <row r="45" spans="1:9" ht="28.8" x14ac:dyDescent="0.3">
      <c r="A45" s="15">
        <v>43</v>
      </c>
      <c r="B45" s="415" t="s">
        <v>163</v>
      </c>
      <c r="C45" s="415" t="s">
        <v>460</v>
      </c>
      <c r="D45" s="314">
        <v>3</v>
      </c>
      <c r="E45" s="15">
        <f t="shared" si="1"/>
        <v>49</v>
      </c>
      <c r="F45" s="205" t="s">
        <v>164</v>
      </c>
      <c r="G45" s="269" t="s">
        <v>163</v>
      </c>
      <c r="H45" s="15">
        <v>0</v>
      </c>
      <c r="I45" s="412" t="s">
        <v>1364</v>
      </c>
    </row>
    <row r="46" spans="1:9" x14ac:dyDescent="0.3">
      <c r="A46" s="15">
        <v>44</v>
      </c>
      <c r="B46" s="415" t="s">
        <v>165</v>
      </c>
      <c r="C46" s="415" t="s">
        <v>1545</v>
      </c>
      <c r="D46" s="314">
        <v>1</v>
      </c>
      <c r="E46" s="15">
        <f t="shared" si="1"/>
        <v>52</v>
      </c>
      <c r="F46" s="204" t="s">
        <v>166</v>
      </c>
      <c r="G46" s="312" t="s">
        <v>642</v>
      </c>
      <c r="H46" s="15">
        <v>0</v>
      </c>
      <c r="I46" s="412" t="s">
        <v>1362</v>
      </c>
    </row>
    <row r="47" spans="1:9" x14ac:dyDescent="0.3">
      <c r="A47" s="15">
        <v>45</v>
      </c>
      <c r="B47" s="415" t="s">
        <v>167</v>
      </c>
      <c r="C47" s="415" t="s">
        <v>460</v>
      </c>
      <c r="D47" s="314">
        <v>1</v>
      </c>
      <c r="E47" s="15">
        <f t="shared" si="1"/>
        <v>53</v>
      </c>
      <c r="F47" s="204" t="s">
        <v>168</v>
      </c>
      <c r="G47" s="312" t="s">
        <v>651</v>
      </c>
      <c r="H47" s="15">
        <v>0</v>
      </c>
      <c r="I47" s="412" t="s">
        <v>167</v>
      </c>
    </row>
    <row r="48" spans="1:9" ht="57.6" x14ac:dyDescent="0.3">
      <c r="A48" s="15">
        <v>46</v>
      </c>
      <c r="B48" s="415" t="s">
        <v>169</v>
      </c>
      <c r="C48" s="415" t="s">
        <v>1546</v>
      </c>
      <c r="D48" s="314">
        <v>1</v>
      </c>
      <c r="E48" s="15">
        <f t="shared" si="1"/>
        <v>54</v>
      </c>
      <c r="F48" s="204" t="s">
        <v>170</v>
      </c>
      <c r="G48" s="312" t="s">
        <v>639</v>
      </c>
      <c r="H48" s="15">
        <v>0</v>
      </c>
      <c r="I48" s="412" t="s">
        <v>1359</v>
      </c>
    </row>
    <row r="49" spans="1:9" x14ac:dyDescent="0.3">
      <c r="A49" s="15">
        <v>47</v>
      </c>
      <c r="B49" s="415" t="s">
        <v>673</v>
      </c>
      <c r="C49" s="415" t="s">
        <v>460</v>
      </c>
      <c r="D49" s="314">
        <v>1</v>
      </c>
      <c r="E49" s="15">
        <f t="shared" si="1"/>
        <v>55</v>
      </c>
      <c r="F49" s="204" t="s">
        <v>171</v>
      </c>
      <c r="G49" s="312" t="s">
        <v>637</v>
      </c>
      <c r="H49" s="15">
        <v>0</v>
      </c>
      <c r="I49" s="412" t="s">
        <v>1357</v>
      </c>
    </row>
    <row r="50" spans="1:9" x14ac:dyDescent="0.3">
      <c r="A50" s="15">
        <v>48</v>
      </c>
      <c r="B50" s="415" t="s">
        <v>173</v>
      </c>
      <c r="C50" s="415" t="s">
        <v>1537</v>
      </c>
      <c r="D50" s="314">
        <v>1</v>
      </c>
      <c r="E50" s="15">
        <f t="shared" si="1"/>
        <v>56</v>
      </c>
      <c r="F50" s="204" t="s">
        <v>174</v>
      </c>
      <c r="G50" s="312" t="s">
        <v>172</v>
      </c>
      <c r="H50" s="15">
        <v>1</v>
      </c>
      <c r="I50" s="412" t="s">
        <v>1355</v>
      </c>
    </row>
    <row r="51" spans="1:9" x14ac:dyDescent="0.3">
      <c r="A51" s="15">
        <v>49</v>
      </c>
      <c r="B51" s="415" t="s">
        <v>176</v>
      </c>
      <c r="C51" s="415" t="s">
        <v>1537</v>
      </c>
      <c r="D51" s="314">
        <v>1</v>
      </c>
      <c r="E51" s="15">
        <f t="shared" si="1"/>
        <v>57</v>
      </c>
      <c r="F51" s="204" t="s">
        <v>177</v>
      </c>
      <c r="G51" s="312" t="s">
        <v>172</v>
      </c>
      <c r="H51" s="15">
        <v>1</v>
      </c>
      <c r="I51" s="412" t="s">
        <v>1354</v>
      </c>
    </row>
    <row r="52" spans="1:9" x14ac:dyDescent="0.3">
      <c r="A52" s="15">
        <v>50</v>
      </c>
      <c r="B52" s="415" t="s">
        <v>178</v>
      </c>
      <c r="C52" s="415" t="s">
        <v>1537</v>
      </c>
      <c r="D52" s="314">
        <v>1</v>
      </c>
      <c r="E52" s="15">
        <f t="shared" si="1"/>
        <v>58</v>
      </c>
      <c r="F52" s="204" t="s">
        <v>179</v>
      </c>
      <c r="G52" s="312" t="s">
        <v>172</v>
      </c>
      <c r="H52" s="15">
        <v>1</v>
      </c>
      <c r="I52" s="412" t="s">
        <v>1352</v>
      </c>
    </row>
    <row r="53" spans="1:9" x14ac:dyDescent="0.3">
      <c r="A53" s="15">
        <v>51</v>
      </c>
      <c r="B53" s="415" t="s">
        <v>180</v>
      </c>
      <c r="C53" s="415" t="s">
        <v>1537</v>
      </c>
      <c r="D53" s="314">
        <v>1</v>
      </c>
      <c r="E53" s="15">
        <f t="shared" si="1"/>
        <v>59</v>
      </c>
      <c r="F53" s="204" t="s">
        <v>181</v>
      </c>
      <c r="G53" s="312" t="s">
        <v>638</v>
      </c>
      <c r="H53" s="15">
        <v>1</v>
      </c>
      <c r="I53" s="412" t="s">
        <v>1351</v>
      </c>
    </row>
    <row r="54" spans="1:9" x14ac:dyDescent="0.3">
      <c r="A54" s="15">
        <v>52</v>
      </c>
      <c r="B54" s="415" t="s">
        <v>182</v>
      </c>
      <c r="C54" s="415" t="s">
        <v>460</v>
      </c>
      <c r="D54" s="314">
        <v>1</v>
      </c>
      <c r="E54" s="15">
        <f t="shared" si="1"/>
        <v>60</v>
      </c>
      <c r="F54" s="204" t="s">
        <v>183</v>
      </c>
      <c r="G54" s="312" t="s">
        <v>635</v>
      </c>
      <c r="H54" s="15">
        <v>0</v>
      </c>
      <c r="I54" s="412" t="s">
        <v>182</v>
      </c>
    </row>
    <row r="55" spans="1:9" x14ac:dyDescent="0.3">
      <c r="A55" s="15">
        <v>53</v>
      </c>
      <c r="B55" s="415" t="s">
        <v>184</v>
      </c>
      <c r="C55" s="415" t="s">
        <v>460</v>
      </c>
      <c r="D55" s="314">
        <v>1</v>
      </c>
      <c r="E55" s="15">
        <f t="shared" si="1"/>
        <v>61</v>
      </c>
      <c r="F55" s="204" t="s">
        <v>185</v>
      </c>
      <c r="G55" s="312" t="s">
        <v>644</v>
      </c>
      <c r="H55" s="15">
        <v>0</v>
      </c>
      <c r="I55" s="412" t="s">
        <v>1346</v>
      </c>
    </row>
    <row r="56" spans="1:9" ht="28.8" x14ac:dyDescent="0.3">
      <c r="A56" s="15">
        <v>54</v>
      </c>
      <c r="B56" s="415" t="s">
        <v>187</v>
      </c>
      <c r="C56" s="415" t="s">
        <v>1547</v>
      </c>
      <c r="D56" s="314">
        <v>2</v>
      </c>
      <c r="E56" s="15">
        <f t="shared" si="1"/>
        <v>62</v>
      </c>
      <c r="F56" s="204" t="s">
        <v>188</v>
      </c>
      <c r="G56" s="312" t="s">
        <v>186</v>
      </c>
      <c r="H56" s="15">
        <v>1</v>
      </c>
      <c r="I56" s="412" t="s">
        <v>187</v>
      </c>
    </row>
    <row r="57" spans="1:9" x14ac:dyDescent="0.3">
      <c r="A57" s="15">
        <v>55</v>
      </c>
      <c r="B57" s="415" t="s">
        <v>189</v>
      </c>
      <c r="C57" s="415" t="s">
        <v>1537</v>
      </c>
      <c r="D57" s="314">
        <v>8</v>
      </c>
      <c r="E57" s="15">
        <f t="shared" si="1"/>
        <v>64</v>
      </c>
      <c r="F57" s="205" t="s">
        <v>190</v>
      </c>
      <c r="G57" s="312" t="s">
        <v>613</v>
      </c>
      <c r="I57" s="412" t="s">
        <v>1342</v>
      </c>
    </row>
    <row r="58" spans="1:9" x14ac:dyDescent="0.3">
      <c r="A58" s="15">
        <v>56</v>
      </c>
      <c r="B58" s="415" t="s">
        <v>192</v>
      </c>
      <c r="C58" s="415" t="s">
        <v>1537</v>
      </c>
      <c r="D58" s="314">
        <v>15</v>
      </c>
      <c r="E58" s="15">
        <f t="shared" si="1"/>
        <v>72</v>
      </c>
      <c r="F58" s="205" t="s">
        <v>193</v>
      </c>
      <c r="G58" s="312" t="s">
        <v>394</v>
      </c>
      <c r="I58" s="412" t="s">
        <v>1337</v>
      </c>
    </row>
    <row r="59" spans="1:9" x14ac:dyDescent="0.3">
      <c r="A59" s="15">
        <v>57</v>
      </c>
      <c r="B59" s="415" t="s">
        <v>194</v>
      </c>
      <c r="C59" s="415" t="s">
        <v>460</v>
      </c>
      <c r="D59" s="314">
        <v>1</v>
      </c>
      <c r="E59" s="15">
        <f t="shared" si="1"/>
        <v>87</v>
      </c>
      <c r="F59" s="204" t="s">
        <v>195</v>
      </c>
      <c r="G59" s="312" t="s">
        <v>646</v>
      </c>
      <c r="H59" s="15">
        <v>0</v>
      </c>
      <c r="I59" s="412" t="s">
        <v>1332</v>
      </c>
    </row>
    <row r="60" spans="1:9" x14ac:dyDescent="0.3">
      <c r="A60" s="15">
        <v>58</v>
      </c>
      <c r="B60" s="415" t="s">
        <v>196</v>
      </c>
      <c r="C60" s="415" t="s">
        <v>460</v>
      </c>
      <c r="D60" s="314">
        <v>1</v>
      </c>
      <c r="E60" s="15">
        <f t="shared" si="1"/>
        <v>88</v>
      </c>
      <c r="F60" s="204" t="s">
        <v>197</v>
      </c>
      <c r="G60" s="312" t="s">
        <v>650</v>
      </c>
      <c r="H60" s="15">
        <v>0</v>
      </c>
      <c r="I60" s="412" t="s">
        <v>1328</v>
      </c>
    </row>
    <row r="61" spans="1:9" x14ac:dyDescent="0.3">
      <c r="A61" s="15">
        <v>59</v>
      </c>
      <c r="B61" s="415" t="s">
        <v>237</v>
      </c>
      <c r="C61" s="415" t="s">
        <v>1537</v>
      </c>
      <c r="D61" s="314">
        <v>1</v>
      </c>
      <c r="E61" s="15">
        <f t="shared" si="1"/>
        <v>89</v>
      </c>
      <c r="F61" s="204" t="s">
        <v>198</v>
      </c>
      <c r="G61" s="312" t="s">
        <v>536</v>
      </c>
      <c r="H61" s="15">
        <v>0</v>
      </c>
      <c r="I61" s="412" t="s">
        <v>1327</v>
      </c>
    </row>
    <row r="62" spans="1:9" x14ac:dyDescent="0.3">
      <c r="A62" s="15">
        <v>60</v>
      </c>
      <c r="B62" s="415" t="s">
        <v>199</v>
      </c>
      <c r="C62" s="415" t="s">
        <v>460</v>
      </c>
      <c r="D62" s="314">
        <v>3</v>
      </c>
      <c r="E62" s="15">
        <f t="shared" si="1"/>
        <v>90</v>
      </c>
      <c r="F62" s="205" t="s">
        <v>200</v>
      </c>
      <c r="G62" s="269" t="s">
        <v>199</v>
      </c>
      <c r="H62" s="15">
        <v>0</v>
      </c>
      <c r="I62" s="412" t="s">
        <v>199</v>
      </c>
    </row>
    <row r="63" spans="1:9" x14ac:dyDescent="0.3">
      <c r="A63" s="15">
        <v>61</v>
      </c>
      <c r="B63" s="415" t="s">
        <v>1301</v>
      </c>
      <c r="C63" s="415" t="s">
        <v>460</v>
      </c>
      <c r="D63" s="314">
        <v>1</v>
      </c>
      <c r="E63" s="15">
        <f t="shared" si="1"/>
        <v>93</v>
      </c>
      <c r="F63" s="204" t="s">
        <v>1133</v>
      </c>
      <c r="G63" s="312" t="s">
        <v>48</v>
      </c>
      <c r="I63" s="412" t="s">
        <v>1326</v>
      </c>
    </row>
    <row r="64" spans="1:9" x14ac:dyDescent="0.3">
      <c r="A64" s="15">
        <v>62</v>
      </c>
      <c r="B64" s="415" t="s">
        <v>1301</v>
      </c>
      <c r="C64" s="415" t="s">
        <v>460</v>
      </c>
      <c r="D64" s="314">
        <v>1</v>
      </c>
      <c r="E64" s="15">
        <f t="shared" si="1"/>
        <v>94</v>
      </c>
      <c r="F64" s="204" t="s">
        <v>1137</v>
      </c>
      <c r="G64" s="312" t="s">
        <v>48</v>
      </c>
      <c r="I64" s="412" t="s">
        <v>1325</v>
      </c>
    </row>
    <row r="65" spans="1:9" x14ac:dyDescent="0.3">
      <c r="A65" s="15">
        <v>63</v>
      </c>
      <c r="B65" s="415" t="s">
        <v>1301</v>
      </c>
      <c r="C65" s="415" t="s">
        <v>460</v>
      </c>
      <c r="D65" s="314">
        <v>1</v>
      </c>
      <c r="E65" s="15">
        <f t="shared" si="1"/>
        <v>95</v>
      </c>
      <c r="F65" s="204" t="s">
        <v>1138</v>
      </c>
      <c r="G65" s="312" t="s">
        <v>48</v>
      </c>
      <c r="I65" s="412" t="s">
        <v>1323</v>
      </c>
    </row>
    <row r="66" spans="1:9" x14ac:dyDescent="0.3">
      <c r="A66" s="15">
        <v>64</v>
      </c>
      <c r="B66" s="415" t="s">
        <v>201</v>
      </c>
      <c r="C66" s="415" t="s">
        <v>460</v>
      </c>
      <c r="D66" s="314">
        <v>4</v>
      </c>
      <c r="E66" s="15">
        <f t="shared" si="1"/>
        <v>96</v>
      </c>
      <c r="F66" s="205" t="s">
        <v>202</v>
      </c>
      <c r="G66" s="269" t="s">
        <v>201</v>
      </c>
      <c r="H66" s="15">
        <v>0</v>
      </c>
      <c r="I66" s="412" t="s">
        <v>201</v>
      </c>
    </row>
    <row r="67" spans="1:9" x14ac:dyDescent="0.3">
      <c r="A67" s="15">
        <v>65</v>
      </c>
      <c r="B67" s="415" t="s">
        <v>203</v>
      </c>
      <c r="C67" s="415" t="s">
        <v>460</v>
      </c>
      <c r="D67" s="314">
        <v>4</v>
      </c>
      <c r="E67" s="15">
        <f t="shared" ref="E67:E89" si="2">E66+D66</f>
        <v>100</v>
      </c>
      <c r="F67" s="205" t="s">
        <v>204</v>
      </c>
      <c r="G67" s="269" t="s">
        <v>203</v>
      </c>
      <c r="H67" s="15">
        <v>0</v>
      </c>
      <c r="I67" s="412" t="s">
        <v>203</v>
      </c>
    </row>
    <row r="68" spans="1:9" x14ac:dyDescent="0.3">
      <c r="A68" s="15">
        <v>66</v>
      </c>
      <c r="B68" s="418" t="s">
        <v>1130</v>
      </c>
      <c r="C68" s="415" t="s">
        <v>1537</v>
      </c>
      <c r="D68" s="314">
        <v>1</v>
      </c>
      <c r="E68" s="15">
        <f t="shared" si="2"/>
        <v>104</v>
      </c>
      <c r="F68" s="204" t="s">
        <v>206</v>
      </c>
      <c r="G68" s="312" t="s">
        <v>613</v>
      </c>
      <c r="I68" s="412" t="s">
        <v>1591</v>
      </c>
    </row>
    <row r="69" spans="1:9" x14ac:dyDescent="0.3">
      <c r="A69" s="15">
        <v>67</v>
      </c>
      <c r="B69" s="418" t="s">
        <v>1131</v>
      </c>
      <c r="C69" s="415" t="s">
        <v>66</v>
      </c>
      <c r="D69" s="314">
        <v>1</v>
      </c>
      <c r="E69" s="15">
        <f t="shared" si="2"/>
        <v>105</v>
      </c>
      <c r="F69" s="204" t="s">
        <v>207</v>
      </c>
      <c r="G69" s="312" t="s">
        <v>613</v>
      </c>
      <c r="I69" s="412" t="s">
        <v>1592</v>
      </c>
    </row>
    <row r="70" spans="1:9" x14ac:dyDescent="0.3">
      <c r="A70" s="15">
        <v>68</v>
      </c>
      <c r="B70" s="418" t="s">
        <v>1132</v>
      </c>
      <c r="C70" s="415" t="s">
        <v>66</v>
      </c>
      <c r="D70" s="314">
        <v>1</v>
      </c>
      <c r="E70" s="15">
        <f t="shared" si="2"/>
        <v>106</v>
      </c>
      <c r="F70" s="204" t="s">
        <v>208</v>
      </c>
      <c r="G70" s="312" t="s">
        <v>613</v>
      </c>
      <c r="I70" s="412" t="s">
        <v>1593</v>
      </c>
    </row>
    <row r="71" spans="1:9" x14ac:dyDescent="0.3">
      <c r="A71" s="15">
        <v>69</v>
      </c>
      <c r="B71" s="415" t="s">
        <v>209</v>
      </c>
      <c r="C71" s="415" t="s">
        <v>66</v>
      </c>
      <c r="D71" s="314">
        <v>1</v>
      </c>
      <c r="E71" s="15">
        <f t="shared" si="2"/>
        <v>107</v>
      </c>
      <c r="F71" s="205" t="s">
        <v>210</v>
      </c>
      <c r="G71" s="312" t="s">
        <v>613</v>
      </c>
      <c r="I71" s="412" t="s">
        <v>1317</v>
      </c>
    </row>
    <row r="72" spans="1:9" x14ac:dyDescent="0.3">
      <c r="A72" s="15">
        <v>70</v>
      </c>
      <c r="B72" s="415" t="s">
        <v>211</v>
      </c>
      <c r="C72" s="415" t="s">
        <v>66</v>
      </c>
      <c r="D72" s="314">
        <v>1</v>
      </c>
      <c r="E72" s="15">
        <f t="shared" si="2"/>
        <v>108</v>
      </c>
      <c r="F72" s="205" t="s">
        <v>212</v>
      </c>
      <c r="G72" s="312" t="s">
        <v>613</v>
      </c>
      <c r="I72" s="412" t="s">
        <v>211</v>
      </c>
    </row>
    <row r="73" spans="1:9" x14ac:dyDescent="0.3">
      <c r="A73" s="15">
        <v>71</v>
      </c>
      <c r="B73" s="415" t="s">
        <v>1301</v>
      </c>
      <c r="C73" s="415" t="s">
        <v>460</v>
      </c>
      <c r="D73" s="314">
        <v>1</v>
      </c>
      <c r="E73" s="15">
        <f t="shared" si="2"/>
        <v>109</v>
      </c>
      <c r="F73" s="204" t="s">
        <v>213</v>
      </c>
      <c r="G73" s="312" t="s">
        <v>48</v>
      </c>
      <c r="I73" s="412" t="s">
        <v>1312</v>
      </c>
    </row>
    <row r="74" spans="1:9" x14ac:dyDescent="0.3">
      <c r="A74" s="15">
        <v>72</v>
      </c>
      <c r="B74" s="415" t="s">
        <v>215</v>
      </c>
      <c r="C74" s="415" t="s">
        <v>66</v>
      </c>
      <c r="D74" s="314">
        <v>1</v>
      </c>
      <c r="E74" s="15">
        <f t="shared" si="2"/>
        <v>110</v>
      </c>
      <c r="F74" s="204" t="s">
        <v>216</v>
      </c>
      <c r="G74" s="312" t="s">
        <v>214</v>
      </c>
      <c r="H74" s="15">
        <v>0</v>
      </c>
      <c r="I74" s="412" t="s">
        <v>1311</v>
      </c>
    </row>
    <row r="75" spans="1:9" x14ac:dyDescent="0.3">
      <c r="A75" s="15">
        <v>73</v>
      </c>
      <c r="B75" s="415" t="s">
        <v>217</v>
      </c>
      <c r="C75" s="415" t="s">
        <v>66</v>
      </c>
      <c r="D75" s="314">
        <v>1</v>
      </c>
      <c r="E75" s="15">
        <f t="shared" si="2"/>
        <v>111</v>
      </c>
      <c r="F75" s="204" t="s">
        <v>218</v>
      </c>
      <c r="G75" s="312" t="s">
        <v>214</v>
      </c>
      <c r="H75" s="15">
        <v>0</v>
      </c>
      <c r="I75" s="412" t="s">
        <v>1309</v>
      </c>
    </row>
    <row r="76" spans="1:9" x14ac:dyDescent="0.3">
      <c r="A76" s="15">
        <v>74</v>
      </c>
      <c r="B76" s="415" t="s">
        <v>219</v>
      </c>
      <c r="C76" s="415" t="s">
        <v>66</v>
      </c>
      <c r="D76" s="314">
        <v>1</v>
      </c>
      <c r="E76" s="15">
        <f t="shared" si="2"/>
        <v>112</v>
      </c>
      <c r="F76" s="205" t="s">
        <v>220</v>
      </c>
      <c r="G76" s="312" t="s">
        <v>613</v>
      </c>
      <c r="I76" s="412" t="s">
        <v>219</v>
      </c>
    </row>
    <row r="77" spans="1:9" x14ac:dyDescent="0.3">
      <c r="A77" s="15">
        <v>75</v>
      </c>
      <c r="B77" s="415" t="s">
        <v>222</v>
      </c>
      <c r="C77" s="415" t="s">
        <v>460</v>
      </c>
      <c r="D77" s="314">
        <v>7</v>
      </c>
      <c r="E77" s="15">
        <f t="shared" si="2"/>
        <v>113</v>
      </c>
      <c r="F77" s="204" t="s">
        <v>223</v>
      </c>
      <c r="G77" s="312" t="s">
        <v>221</v>
      </c>
      <c r="H77" s="15">
        <v>0</v>
      </c>
      <c r="I77" s="412" t="s">
        <v>1307</v>
      </c>
    </row>
    <row r="78" spans="1:9" ht="28.8" x14ac:dyDescent="0.3">
      <c r="A78" s="15">
        <v>76</v>
      </c>
      <c r="B78" s="415" t="s">
        <v>225</v>
      </c>
      <c r="C78" s="415" t="s">
        <v>1537</v>
      </c>
      <c r="D78" s="314">
        <v>1</v>
      </c>
      <c r="E78" s="15">
        <f t="shared" si="2"/>
        <v>120</v>
      </c>
      <c r="F78" s="204" t="s">
        <v>226</v>
      </c>
      <c r="G78" s="312" t="s">
        <v>224</v>
      </c>
      <c r="H78" s="15">
        <v>1</v>
      </c>
      <c r="I78" s="412" t="s">
        <v>225</v>
      </c>
    </row>
    <row r="79" spans="1:9" ht="43.2" x14ac:dyDescent="0.3">
      <c r="A79" s="15">
        <v>77</v>
      </c>
      <c r="B79" s="415" t="s">
        <v>674</v>
      </c>
      <c r="C79" s="415" t="s">
        <v>1548</v>
      </c>
      <c r="D79" s="314">
        <v>1</v>
      </c>
      <c r="E79" s="15">
        <f t="shared" si="2"/>
        <v>121</v>
      </c>
      <c r="F79" s="205" t="s">
        <v>227</v>
      </c>
      <c r="G79" s="312" t="s">
        <v>613</v>
      </c>
      <c r="I79" s="412" t="s">
        <v>1305</v>
      </c>
    </row>
    <row r="80" spans="1:9" x14ac:dyDescent="0.3">
      <c r="A80" s="15">
        <v>78</v>
      </c>
      <c r="B80" s="415" t="s">
        <v>228</v>
      </c>
      <c r="C80" s="415" t="s">
        <v>1537</v>
      </c>
      <c r="D80" s="314">
        <v>1</v>
      </c>
      <c r="E80" s="15">
        <f t="shared" si="2"/>
        <v>122</v>
      </c>
      <c r="F80" s="204" t="s">
        <v>229</v>
      </c>
      <c r="G80" s="312" t="s">
        <v>100</v>
      </c>
      <c r="H80" s="15">
        <v>0</v>
      </c>
      <c r="I80" s="412" t="s">
        <v>1594</v>
      </c>
    </row>
    <row r="81" spans="1:9" x14ac:dyDescent="0.3">
      <c r="A81" s="15">
        <v>79</v>
      </c>
      <c r="B81" s="415" t="s">
        <v>230</v>
      </c>
      <c r="C81" s="415" t="s">
        <v>1537</v>
      </c>
      <c r="D81" s="314">
        <v>1</v>
      </c>
      <c r="E81" s="15">
        <f t="shared" si="2"/>
        <v>123</v>
      </c>
      <c r="F81" s="204" t="s">
        <v>231</v>
      </c>
      <c r="G81" s="312" t="s">
        <v>100</v>
      </c>
      <c r="H81" s="15">
        <v>0</v>
      </c>
      <c r="I81" s="412" t="s">
        <v>1595</v>
      </c>
    </row>
    <row r="82" spans="1:9" x14ac:dyDescent="0.3">
      <c r="A82" s="15">
        <v>80</v>
      </c>
      <c r="B82" s="415" t="s">
        <v>232</v>
      </c>
      <c r="C82" s="415" t="s">
        <v>1537</v>
      </c>
      <c r="D82" s="314">
        <v>1</v>
      </c>
      <c r="E82" s="15">
        <f t="shared" si="2"/>
        <v>124</v>
      </c>
      <c r="F82" s="204" t="s">
        <v>233</v>
      </c>
      <c r="G82" s="312" t="s">
        <v>100</v>
      </c>
      <c r="H82" s="15">
        <v>0</v>
      </c>
      <c r="I82" s="412" t="s">
        <v>1596</v>
      </c>
    </row>
    <row r="83" spans="1:9" x14ac:dyDescent="0.3">
      <c r="A83" s="15">
        <v>81</v>
      </c>
      <c r="B83" s="415" t="s">
        <v>235</v>
      </c>
      <c r="C83" s="415" t="s">
        <v>1537</v>
      </c>
      <c r="D83" s="314">
        <v>1</v>
      </c>
      <c r="E83" s="15">
        <f t="shared" si="2"/>
        <v>125</v>
      </c>
      <c r="F83" s="207" t="s">
        <v>236</v>
      </c>
      <c r="G83" s="312" t="s">
        <v>234</v>
      </c>
      <c r="H83" s="15">
        <v>1</v>
      </c>
      <c r="I83" s="412" t="s">
        <v>1597</v>
      </c>
    </row>
    <row r="84" spans="1:9" x14ac:dyDescent="0.3">
      <c r="A84" s="15">
        <v>82</v>
      </c>
      <c r="B84" s="418" t="s">
        <v>1107</v>
      </c>
      <c r="C84" s="415" t="s">
        <v>1537</v>
      </c>
      <c r="D84" s="314">
        <v>1</v>
      </c>
      <c r="E84" s="15">
        <f t="shared" si="2"/>
        <v>126</v>
      </c>
      <c r="F84" s="207" t="s">
        <v>888</v>
      </c>
      <c r="G84" s="312" t="s">
        <v>48</v>
      </c>
      <c r="I84" s="412" t="s">
        <v>1302</v>
      </c>
    </row>
    <row r="85" spans="1:9" x14ac:dyDescent="0.3">
      <c r="A85" s="15">
        <v>83</v>
      </c>
      <c r="B85" s="415" t="s">
        <v>1301</v>
      </c>
      <c r="C85" s="415" t="s">
        <v>460</v>
      </c>
      <c r="D85" s="314">
        <v>1</v>
      </c>
      <c r="E85" s="15">
        <f t="shared" si="2"/>
        <v>127</v>
      </c>
      <c r="F85" s="207" t="s">
        <v>889</v>
      </c>
      <c r="G85" s="312" t="s">
        <v>48</v>
      </c>
      <c r="I85" s="412" t="s">
        <v>1299</v>
      </c>
    </row>
    <row r="86" spans="1:9" ht="28.8" x14ac:dyDescent="0.3">
      <c r="A86" s="15">
        <v>84</v>
      </c>
      <c r="B86" s="418" t="s">
        <v>238</v>
      </c>
      <c r="C86" s="415" t="s">
        <v>1549</v>
      </c>
      <c r="D86" s="314">
        <v>1</v>
      </c>
      <c r="E86" s="15">
        <f t="shared" si="2"/>
        <v>128</v>
      </c>
      <c r="F86" s="205" t="s">
        <v>239</v>
      </c>
      <c r="G86" s="269" t="s">
        <v>613</v>
      </c>
      <c r="I86" s="412" t="s">
        <v>238</v>
      </c>
    </row>
    <row r="87" spans="1:9" ht="28.8" x14ac:dyDescent="0.3">
      <c r="A87" s="15">
        <v>85</v>
      </c>
      <c r="B87" s="418" t="s">
        <v>1550</v>
      </c>
      <c r="C87" s="415" t="s">
        <v>1537</v>
      </c>
      <c r="D87" s="314">
        <v>1</v>
      </c>
      <c r="E87" s="15">
        <f t="shared" si="2"/>
        <v>129</v>
      </c>
      <c r="F87" s="205" t="s">
        <v>240</v>
      </c>
      <c r="G87" s="312" t="s">
        <v>613</v>
      </c>
      <c r="I87" s="412" t="s">
        <v>1106</v>
      </c>
    </row>
    <row r="88" spans="1:9" ht="28.8" x14ac:dyDescent="0.3">
      <c r="A88" s="15">
        <v>86</v>
      </c>
      <c r="B88" s="415" t="s">
        <v>242</v>
      </c>
      <c r="C88" s="415" t="s">
        <v>1551</v>
      </c>
      <c r="D88" s="314">
        <v>5</v>
      </c>
      <c r="E88" s="15">
        <f t="shared" si="2"/>
        <v>130</v>
      </c>
      <c r="F88" s="204" t="s">
        <v>243</v>
      </c>
      <c r="G88" s="312" t="s">
        <v>241</v>
      </c>
      <c r="H88" s="15">
        <v>0</v>
      </c>
      <c r="I88" s="412" t="s">
        <v>242</v>
      </c>
    </row>
    <row r="89" spans="1:9" x14ac:dyDescent="0.3">
      <c r="A89" s="15">
        <v>87</v>
      </c>
      <c r="B89" s="418" t="s">
        <v>244</v>
      </c>
      <c r="C89" s="415" t="s">
        <v>1552</v>
      </c>
      <c r="D89" s="314">
        <v>1</v>
      </c>
      <c r="E89" s="15">
        <f t="shared" si="2"/>
        <v>135</v>
      </c>
      <c r="F89" s="205" t="s">
        <v>245</v>
      </c>
      <c r="G89" s="269" t="s">
        <v>613</v>
      </c>
      <c r="I89" s="412" t="s">
        <v>1293</v>
      </c>
    </row>
    <row r="90" spans="1:9" x14ac:dyDescent="0.3">
      <c r="A90" s="15">
        <v>88</v>
      </c>
      <c r="B90" s="496" t="s">
        <v>254</v>
      </c>
      <c r="D90" s="499">
        <v>24</v>
      </c>
      <c r="I90" s="412" t="s">
        <v>254</v>
      </c>
    </row>
    <row r="91" spans="1:9" x14ac:dyDescent="0.3">
      <c r="A91" s="15">
        <v>89</v>
      </c>
      <c r="B91" s="496" t="s">
        <v>255</v>
      </c>
      <c r="D91" s="499">
        <v>5</v>
      </c>
      <c r="I91" s="412" t="s">
        <v>255</v>
      </c>
    </row>
    <row r="92" spans="1:9" x14ac:dyDescent="0.3">
      <c r="A92" s="15">
        <v>90</v>
      </c>
      <c r="B92" s="496" t="s">
        <v>256</v>
      </c>
      <c r="D92" s="499">
        <v>2</v>
      </c>
      <c r="I92" s="412" t="s">
        <v>1291</v>
      </c>
    </row>
    <row r="93" spans="1:9" x14ac:dyDescent="0.3">
      <c r="A93" s="15">
        <v>91</v>
      </c>
      <c r="B93" s="496" t="s">
        <v>257</v>
      </c>
      <c r="D93" s="499">
        <v>1</v>
      </c>
      <c r="I93" s="412" t="s">
        <v>257</v>
      </c>
    </row>
    <row r="94" spans="1:9" x14ac:dyDescent="0.3">
      <c r="A94" s="15">
        <v>92</v>
      </c>
      <c r="B94" s="496" t="s">
        <v>258</v>
      </c>
      <c r="D94" s="499">
        <v>8</v>
      </c>
      <c r="I94" s="492" t="s">
        <v>258</v>
      </c>
    </row>
    <row r="95" spans="1:9" x14ac:dyDescent="0.3">
      <c r="A95" s="15">
        <v>93</v>
      </c>
      <c r="B95" s="496" t="s">
        <v>259</v>
      </c>
      <c r="D95" s="499">
        <v>8</v>
      </c>
      <c r="I95" s="492" t="s">
        <v>259</v>
      </c>
    </row>
    <row r="96" spans="1:9" x14ac:dyDescent="0.3">
      <c r="A96" s="15">
        <v>94</v>
      </c>
      <c r="B96" s="496" t="s">
        <v>260</v>
      </c>
      <c r="D96" s="499">
        <v>8</v>
      </c>
      <c r="I96" s="492" t="s">
        <v>1286</v>
      </c>
    </row>
    <row r="97" spans="1:9" x14ac:dyDescent="0.3">
      <c r="A97" s="15">
        <v>95</v>
      </c>
      <c r="B97" s="496" t="s">
        <v>261</v>
      </c>
      <c r="D97" s="499">
        <v>8</v>
      </c>
      <c r="I97" s="492" t="s">
        <v>1284</v>
      </c>
    </row>
    <row r="98" spans="1:9" x14ac:dyDescent="0.3">
      <c r="A98" s="15">
        <v>96</v>
      </c>
      <c r="B98" s="496" t="s">
        <v>247</v>
      </c>
      <c r="D98" s="499">
        <v>16</v>
      </c>
    </row>
    <row r="99" spans="1:9" x14ac:dyDescent="0.3">
      <c r="A99" s="15">
        <v>97</v>
      </c>
      <c r="B99" s="496" t="s">
        <v>248</v>
      </c>
      <c r="D99" s="499">
        <v>8</v>
      </c>
    </row>
    <row r="100" spans="1:9" x14ac:dyDescent="0.3">
      <c r="A100" s="15">
        <v>98</v>
      </c>
      <c r="B100" s="496" t="s">
        <v>249</v>
      </c>
      <c r="D100" s="499">
        <v>8</v>
      </c>
    </row>
    <row r="101" spans="1:9" x14ac:dyDescent="0.3">
      <c r="A101" s="15">
        <v>99</v>
      </c>
      <c r="B101" s="496" t="s">
        <v>250</v>
      </c>
      <c r="D101" s="499">
        <v>32</v>
      </c>
    </row>
    <row r="102" spans="1:9" x14ac:dyDescent="0.3">
      <c r="A102" s="15">
        <v>100</v>
      </c>
      <c r="B102" s="496" t="s">
        <v>251</v>
      </c>
      <c r="D102" s="499">
        <v>32</v>
      </c>
    </row>
    <row r="103" spans="1:9" x14ac:dyDescent="0.3">
      <c r="A103" s="15">
        <v>101</v>
      </c>
      <c r="B103" s="496" t="s">
        <v>252</v>
      </c>
      <c r="D103" s="499">
        <v>32</v>
      </c>
    </row>
    <row r="104" spans="1:9" x14ac:dyDescent="0.3">
      <c r="A104" s="15">
        <v>102</v>
      </c>
      <c r="B104" s="496" t="s">
        <v>262</v>
      </c>
      <c r="D104" s="499">
        <v>16</v>
      </c>
      <c r="I104" s="412" t="s">
        <v>1272</v>
      </c>
    </row>
    <row r="105" spans="1:9" x14ac:dyDescent="0.3">
      <c r="A105" s="15">
        <v>103</v>
      </c>
      <c r="B105" s="496" t="s">
        <v>263</v>
      </c>
      <c r="D105" s="499">
        <v>8</v>
      </c>
      <c r="I105" s="412" t="s">
        <v>1270</v>
      </c>
    </row>
    <row r="106" spans="1:9" x14ac:dyDescent="0.3">
      <c r="A106" s="15">
        <v>104</v>
      </c>
      <c r="B106" s="496" t="s">
        <v>264</v>
      </c>
      <c r="D106" s="499">
        <v>4</v>
      </c>
      <c r="I106" s="412" t="s">
        <v>1269</v>
      </c>
    </row>
    <row r="107" spans="1:9" x14ac:dyDescent="0.3">
      <c r="A107" s="15">
        <v>105</v>
      </c>
      <c r="B107" s="496" t="s">
        <v>265</v>
      </c>
      <c r="D107" s="499">
        <v>4</v>
      </c>
      <c r="I107" s="412" t="s">
        <v>1265</v>
      </c>
    </row>
    <row r="108" spans="1:9" x14ac:dyDescent="0.3">
      <c r="A108" s="15">
        <v>106</v>
      </c>
      <c r="B108" s="497" t="s">
        <v>395</v>
      </c>
      <c r="D108" s="500">
        <v>512</v>
      </c>
      <c r="I108" s="412" t="s">
        <v>1263</v>
      </c>
    </row>
    <row r="109" spans="1:9" x14ac:dyDescent="0.3">
      <c r="A109" s="15">
        <v>107</v>
      </c>
      <c r="B109" s="497" t="s">
        <v>396</v>
      </c>
      <c r="D109" s="500">
        <v>32</v>
      </c>
      <c r="I109" s="412" t="s">
        <v>1598</v>
      </c>
    </row>
    <row r="110" spans="1:9" x14ac:dyDescent="0.3">
      <c r="A110" s="15">
        <v>108</v>
      </c>
      <c r="B110" s="497" t="s">
        <v>397</v>
      </c>
      <c r="D110" s="500">
        <v>256</v>
      </c>
      <c r="I110" s="412" t="s">
        <v>1599</v>
      </c>
    </row>
    <row r="111" spans="1:9" x14ac:dyDescent="0.3">
      <c r="A111" s="15">
        <v>109</v>
      </c>
      <c r="B111" s="497" t="s">
        <v>398</v>
      </c>
      <c r="D111" s="500">
        <v>256</v>
      </c>
      <c r="I111" s="412" t="s">
        <v>1600</v>
      </c>
    </row>
    <row r="112" spans="1:9" x14ac:dyDescent="0.3">
      <c r="A112" s="15">
        <v>110</v>
      </c>
      <c r="B112" s="497" t="s">
        <v>422</v>
      </c>
      <c r="D112" s="500">
        <v>0</v>
      </c>
      <c r="I112" s="412" t="s">
        <v>1601</v>
      </c>
    </row>
    <row r="113" spans="1:9" x14ac:dyDescent="0.3">
      <c r="A113" s="15">
        <v>111</v>
      </c>
      <c r="B113" s="498" t="s">
        <v>16</v>
      </c>
      <c r="D113" s="501">
        <v>768</v>
      </c>
      <c r="I113" s="412" t="s">
        <v>16</v>
      </c>
    </row>
    <row r="114" spans="1:9" x14ac:dyDescent="0.3">
      <c r="A114" s="15">
        <v>112</v>
      </c>
      <c r="B114" s="498" t="s">
        <v>399</v>
      </c>
      <c r="D114" s="501">
        <v>160</v>
      </c>
      <c r="I114" s="412"/>
    </row>
    <row r="115" spans="1:9" x14ac:dyDescent="0.3">
      <c r="A115" s="15">
        <v>113</v>
      </c>
      <c r="B115" s="498" t="s">
        <v>22</v>
      </c>
      <c r="D115" s="501">
        <v>32</v>
      </c>
      <c r="I115" s="412"/>
    </row>
    <row r="116" spans="1:9" x14ac:dyDescent="0.3">
      <c r="A116" s="15">
        <v>114</v>
      </c>
      <c r="B116" s="498" t="s">
        <v>884</v>
      </c>
      <c r="D116" s="501">
        <v>320</v>
      </c>
      <c r="I116" s="412"/>
    </row>
    <row r="117" spans="1:9" x14ac:dyDescent="0.3">
      <c r="A117" s="15">
        <v>115</v>
      </c>
      <c r="B117" s="498" t="s">
        <v>21</v>
      </c>
      <c r="D117" s="501">
        <v>6400</v>
      </c>
      <c r="I117" s="412"/>
    </row>
    <row r="118" spans="1:9" x14ac:dyDescent="0.3">
      <c r="A118" s="15">
        <v>116</v>
      </c>
      <c r="B118" s="498" t="s">
        <v>423</v>
      </c>
      <c r="D118" s="501">
        <v>0</v>
      </c>
      <c r="I118" s="412"/>
    </row>
    <row r="119" spans="1:9" x14ac:dyDescent="0.3">
      <c r="I119" s="412"/>
    </row>
    <row r="120" spans="1:9" x14ac:dyDescent="0.3">
      <c r="I120" s="412"/>
    </row>
    <row r="121" spans="1:9" x14ac:dyDescent="0.3">
      <c r="I121" s="412"/>
    </row>
    <row r="122" spans="1:9" x14ac:dyDescent="0.3">
      <c r="I122" s="412"/>
    </row>
    <row r="123" spans="1:9" x14ac:dyDescent="0.3">
      <c r="I123" s="412"/>
    </row>
    <row r="124" spans="1:9" x14ac:dyDescent="0.3">
      <c r="I124" s="494"/>
    </row>
    <row r="125" spans="1:9" x14ac:dyDescent="0.3">
      <c r="I125" s="494"/>
    </row>
    <row r="126" spans="1:9" x14ac:dyDescent="0.3">
      <c r="I126" s="494"/>
    </row>
    <row r="127" spans="1:9" x14ac:dyDescent="0.3">
      <c r="I127" s="494"/>
    </row>
    <row r="128" spans="1:9" x14ac:dyDescent="0.3">
      <c r="I128" s="494"/>
    </row>
    <row r="129" spans="9:9" x14ac:dyDescent="0.3">
      <c r="I129" s="494"/>
    </row>
    <row r="130" spans="9:9" x14ac:dyDescent="0.3">
      <c r="I130" s="494"/>
    </row>
    <row r="131" spans="9:9" x14ac:dyDescent="0.3">
      <c r="I131" s="494"/>
    </row>
    <row r="132" spans="9:9" x14ac:dyDescent="0.3">
      <c r="I132" s="494"/>
    </row>
    <row r="133" spans="9:9" x14ac:dyDescent="0.3">
      <c r="I133" s="494"/>
    </row>
    <row r="134" spans="9:9" x14ac:dyDescent="0.3">
      <c r="I134" s="494"/>
    </row>
    <row r="135" spans="9:9" x14ac:dyDescent="0.3">
      <c r="I135" s="494"/>
    </row>
    <row r="136" spans="9:9" x14ac:dyDescent="0.3">
      <c r="I136" s="494"/>
    </row>
    <row r="137" spans="9:9" x14ac:dyDescent="0.3">
      <c r="I137" s="494"/>
    </row>
    <row r="138" spans="9:9" x14ac:dyDescent="0.3">
      <c r="I138" s="494"/>
    </row>
    <row r="139" spans="9:9" x14ac:dyDescent="0.3">
      <c r="I139" s="494"/>
    </row>
    <row r="140" spans="9:9" x14ac:dyDescent="0.3">
      <c r="I140" s="494"/>
    </row>
    <row r="141" spans="9:9" x14ac:dyDescent="0.3">
      <c r="I141" s="494"/>
    </row>
    <row r="142" spans="9:9" x14ac:dyDescent="0.3">
      <c r="I142" s="494"/>
    </row>
    <row r="143" spans="9:9" x14ac:dyDescent="0.3">
      <c r="I143" s="494"/>
    </row>
    <row r="144" spans="9:9" x14ac:dyDescent="0.3">
      <c r="I144" s="494"/>
    </row>
    <row r="145" spans="9:9" x14ac:dyDescent="0.3">
      <c r="I145" s="494"/>
    </row>
    <row r="146" spans="9:9" x14ac:dyDescent="0.3">
      <c r="I146" s="494"/>
    </row>
    <row r="147" spans="9:9" x14ac:dyDescent="0.3">
      <c r="I147" s="494"/>
    </row>
    <row r="148" spans="9:9" x14ac:dyDescent="0.3">
      <c r="I148" s="494"/>
    </row>
    <row r="149" spans="9:9" x14ac:dyDescent="0.3">
      <c r="I149" s="494"/>
    </row>
    <row r="150" spans="9:9" x14ac:dyDescent="0.3">
      <c r="I150" s="494"/>
    </row>
    <row r="151" spans="9:9" x14ac:dyDescent="0.3">
      <c r="I151" s="494"/>
    </row>
    <row r="152" spans="9:9" x14ac:dyDescent="0.3">
      <c r="I152" s="494"/>
    </row>
    <row r="153" spans="9:9" x14ac:dyDescent="0.3">
      <c r="I153" s="494"/>
    </row>
    <row r="154" spans="9:9" x14ac:dyDescent="0.3">
      <c r="I154" s="494"/>
    </row>
    <row r="155" spans="9:9" x14ac:dyDescent="0.3">
      <c r="I155" s="412"/>
    </row>
    <row r="156" spans="9:9" x14ac:dyDescent="0.3">
      <c r="I156" s="412"/>
    </row>
    <row r="157" spans="9:9" x14ac:dyDescent="0.3">
      <c r="I157" s="412"/>
    </row>
    <row r="158" spans="9:9" x14ac:dyDescent="0.3">
      <c r="I158" s="412"/>
    </row>
    <row r="159" spans="9:9" x14ac:dyDescent="0.3">
      <c r="I159" s="412"/>
    </row>
    <row r="160" spans="9:9" x14ac:dyDescent="0.3">
      <c r="I160" s="412"/>
    </row>
  </sheetData>
  <autoFilter ref="A1:H89" xr:uid="{20137023-DCF3-41E8-BF46-752FA4236132}">
    <sortState xmlns:xlrd2="http://schemas.microsoft.com/office/spreadsheetml/2017/richdata2" ref="A2:H89">
      <sortCondition ref="A1:A89"/>
    </sortState>
  </autoFilter>
  <conditionalFormatting sqref="B2:B89">
    <cfRule type="expression" dxfId="558" priority="1">
      <formula>$B2&lt;&gt;$I2</formula>
    </cfRule>
  </conditionalFormatting>
  <pageMargins left="0.7" right="0.7" top="0.75" bottom="0.75" header="0.3" footer="0.3"/>
  <pageSetup paperSize="9" orientation="portrait" verticalDpi="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0BB18-A379-4A8B-9A15-367E309674BF}">
  <dimension ref="A1:B160"/>
  <sheetViews>
    <sheetView workbookViewId="0">
      <selection activeCell="A26" sqref="A26"/>
    </sheetView>
  </sheetViews>
  <sheetFormatPr defaultRowHeight="14.4" x14ac:dyDescent="0.3"/>
  <cols>
    <col min="1" max="1" width="32.21875" style="15" customWidth="1"/>
    <col min="2" max="2" width="55.6640625" style="15" customWidth="1"/>
  </cols>
  <sheetData>
    <row r="1" spans="1:2" x14ac:dyDescent="0.3">
      <c r="A1" s="15" t="s">
        <v>662</v>
      </c>
      <c r="B1" s="15" t="s">
        <v>1602</v>
      </c>
    </row>
    <row r="2" spans="1:2" x14ac:dyDescent="0.3">
      <c r="A2" s="415" t="s">
        <v>64</v>
      </c>
      <c r="B2" s="412" t="s">
        <v>1430</v>
      </c>
    </row>
    <row r="3" spans="1:2" x14ac:dyDescent="0.3">
      <c r="A3" s="415" t="s">
        <v>67</v>
      </c>
      <c r="B3" s="412" t="s">
        <v>1429</v>
      </c>
    </row>
    <row r="4" spans="1:2" x14ac:dyDescent="0.3">
      <c r="A4" s="415" t="s">
        <v>71</v>
      </c>
      <c r="B4" s="412" t="s">
        <v>71</v>
      </c>
    </row>
    <row r="5" spans="1:2" x14ac:dyDescent="0.3">
      <c r="A5" s="495" t="s">
        <v>73</v>
      </c>
      <c r="B5" s="412" t="s">
        <v>73</v>
      </c>
    </row>
    <row r="6" spans="1:2" x14ac:dyDescent="0.3">
      <c r="A6" s="415" t="s">
        <v>76</v>
      </c>
      <c r="B6" s="412" t="s">
        <v>76</v>
      </c>
    </row>
    <row r="7" spans="1:2" x14ac:dyDescent="0.3">
      <c r="A7" s="415" t="s">
        <v>79</v>
      </c>
      <c r="B7" s="412" t="s">
        <v>79</v>
      </c>
    </row>
    <row r="8" spans="1:2" x14ac:dyDescent="0.3">
      <c r="A8" s="415" t="s">
        <v>81</v>
      </c>
      <c r="B8" s="412" t="s">
        <v>81</v>
      </c>
    </row>
    <row r="9" spans="1:2" x14ac:dyDescent="0.3">
      <c r="A9" s="415" t="s">
        <v>83</v>
      </c>
      <c r="B9" s="412" t="s">
        <v>1420</v>
      </c>
    </row>
    <row r="10" spans="1:2" x14ac:dyDescent="0.3">
      <c r="A10" s="415" t="s">
        <v>85</v>
      </c>
      <c r="B10" s="412" t="s">
        <v>85</v>
      </c>
    </row>
    <row r="11" spans="1:2" x14ac:dyDescent="0.3">
      <c r="A11" s="415" t="s">
        <v>811</v>
      </c>
      <c r="B11" s="412" t="s">
        <v>1416</v>
      </c>
    </row>
    <row r="12" spans="1:2" x14ac:dyDescent="0.3">
      <c r="A12" s="415" t="s">
        <v>89</v>
      </c>
      <c r="B12" s="412" t="s">
        <v>1414</v>
      </c>
    </row>
    <row r="13" spans="1:2" x14ac:dyDescent="0.3">
      <c r="A13" s="415" t="s">
        <v>92</v>
      </c>
      <c r="B13" s="412" t="s">
        <v>1409</v>
      </c>
    </row>
    <row r="14" spans="1:2" x14ac:dyDescent="0.3">
      <c r="A14" s="415" t="s">
        <v>94</v>
      </c>
      <c r="B14" s="412" t="s">
        <v>94</v>
      </c>
    </row>
    <row r="15" spans="1:2" x14ac:dyDescent="0.3">
      <c r="A15" s="415" t="s">
        <v>96</v>
      </c>
      <c r="B15" s="412" t="s">
        <v>96</v>
      </c>
    </row>
    <row r="16" spans="1:2" x14ac:dyDescent="0.3">
      <c r="A16" s="415" t="s">
        <v>98</v>
      </c>
      <c r="B16" s="412" t="s">
        <v>1581</v>
      </c>
    </row>
    <row r="17" spans="1:2" x14ac:dyDescent="0.3">
      <c r="A17" s="415" t="s">
        <v>101</v>
      </c>
      <c r="B17" s="412" t="s">
        <v>1582</v>
      </c>
    </row>
    <row r="18" spans="1:2" x14ac:dyDescent="0.3">
      <c r="A18" s="415" t="s">
        <v>103</v>
      </c>
      <c r="B18" s="412" t="s">
        <v>1395</v>
      </c>
    </row>
    <row r="19" spans="1:2" x14ac:dyDescent="0.3">
      <c r="A19" s="415" t="s">
        <v>105</v>
      </c>
      <c r="B19" s="412" t="s">
        <v>1394</v>
      </c>
    </row>
    <row r="20" spans="1:2" x14ac:dyDescent="0.3">
      <c r="A20" s="415" t="s">
        <v>107</v>
      </c>
    </row>
    <row r="21" spans="1:2" x14ac:dyDescent="0.3">
      <c r="A21" s="416" t="s">
        <v>109</v>
      </c>
      <c r="B21" s="412" t="s">
        <v>1583</v>
      </c>
    </row>
    <row r="22" spans="1:2" x14ac:dyDescent="0.3">
      <c r="A22" s="416" t="s">
        <v>111</v>
      </c>
      <c r="B22" s="412" t="s">
        <v>1584</v>
      </c>
    </row>
    <row r="23" spans="1:2" x14ac:dyDescent="0.3">
      <c r="A23" s="416" t="s">
        <v>113</v>
      </c>
      <c r="B23" s="412" t="s">
        <v>1585</v>
      </c>
    </row>
    <row r="24" spans="1:2" x14ac:dyDescent="0.3">
      <c r="A24" s="416" t="s">
        <v>115</v>
      </c>
      <c r="B24" s="412" t="s">
        <v>1586</v>
      </c>
    </row>
    <row r="25" spans="1:2" x14ac:dyDescent="0.3">
      <c r="A25" s="416" t="s">
        <v>117</v>
      </c>
      <c r="B25" s="412" t="s">
        <v>1587</v>
      </c>
    </row>
    <row r="26" spans="1:2" x14ac:dyDescent="0.3">
      <c r="A26" s="415" t="s">
        <v>120</v>
      </c>
      <c r="B26" s="412" t="s">
        <v>1391</v>
      </c>
    </row>
    <row r="27" spans="1:2" x14ac:dyDescent="0.3">
      <c r="A27" s="415" t="s">
        <v>123</v>
      </c>
      <c r="B27" s="412" t="s">
        <v>1390</v>
      </c>
    </row>
    <row r="28" spans="1:2" ht="28.8" x14ac:dyDescent="0.3">
      <c r="A28" s="415" t="s">
        <v>126</v>
      </c>
      <c r="B28" s="412" t="s">
        <v>126</v>
      </c>
    </row>
    <row r="29" spans="1:2" x14ac:dyDescent="0.3">
      <c r="A29" s="415" t="s">
        <v>129</v>
      </c>
    </row>
    <row r="30" spans="1:2" ht="28.8" x14ac:dyDescent="0.3">
      <c r="A30" s="416" t="s">
        <v>131</v>
      </c>
      <c r="B30" s="412" t="s">
        <v>1588</v>
      </c>
    </row>
    <row r="31" spans="1:2" x14ac:dyDescent="0.3">
      <c r="A31" s="416" t="s">
        <v>1301</v>
      </c>
      <c r="B31" s="412" t="s">
        <v>1589</v>
      </c>
    </row>
    <row r="32" spans="1:2" x14ac:dyDescent="0.3">
      <c r="A32" s="416" t="s">
        <v>376</v>
      </c>
      <c r="B32" s="412" t="s">
        <v>1590</v>
      </c>
    </row>
    <row r="33" spans="1:2" ht="28.8" x14ac:dyDescent="0.3">
      <c r="A33" s="417" t="s">
        <v>134</v>
      </c>
      <c r="B33" s="412" t="s">
        <v>1385</v>
      </c>
    </row>
    <row r="34" spans="1:2" ht="28.8" x14ac:dyDescent="0.3">
      <c r="A34" s="415" t="s">
        <v>136</v>
      </c>
      <c r="B34" s="412" t="s">
        <v>1383</v>
      </c>
    </row>
    <row r="35" spans="1:2" x14ac:dyDescent="0.3">
      <c r="A35" s="415" t="s">
        <v>138</v>
      </c>
      <c r="B35" s="412" t="s">
        <v>138</v>
      </c>
    </row>
    <row r="36" spans="1:2" x14ac:dyDescent="0.3">
      <c r="A36" s="415" t="s">
        <v>142</v>
      </c>
      <c r="B36" s="412" t="s">
        <v>142</v>
      </c>
    </row>
    <row r="37" spans="1:2" x14ac:dyDescent="0.3">
      <c r="A37" s="415" t="s">
        <v>145</v>
      </c>
      <c r="B37" s="412" t="s">
        <v>145</v>
      </c>
    </row>
    <row r="38" spans="1:2" x14ac:dyDescent="0.3">
      <c r="A38" s="415" t="s">
        <v>148</v>
      </c>
      <c r="B38" s="412" t="s">
        <v>148</v>
      </c>
    </row>
    <row r="39" spans="1:2" x14ac:dyDescent="0.3">
      <c r="A39" s="415" t="s">
        <v>150</v>
      </c>
      <c r="B39" s="412" t="s">
        <v>1375</v>
      </c>
    </row>
    <row r="40" spans="1:2" x14ac:dyDescent="0.3">
      <c r="A40" s="415" t="s">
        <v>153</v>
      </c>
      <c r="B40" s="412" t="s">
        <v>153</v>
      </c>
    </row>
    <row r="41" spans="1:2" x14ac:dyDescent="0.3">
      <c r="A41" s="415" t="s">
        <v>155</v>
      </c>
      <c r="B41" s="412" t="s">
        <v>1371</v>
      </c>
    </row>
    <row r="42" spans="1:2" x14ac:dyDescent="0.3">
      <c r="A42" s="415" t="s">
        <v>157</v>
      </c>
      <c r="B42" s="412" t="s">
        <v>157</v>
      </c>
    </row>
    <row r="43" spans="1:2" x14ac:dyDescent="0.3">
      <c r="A43" s="415" t="s">
        <v>159</v>
      </c>
      <c r="B43" s="412" t="s">
        <v>1368</v>
      </c>
    </row>
    <row r="44" spans="1:2" x14ac:dyDescent="0.3">
      <c r="A44" s="415" t="s">
        <v>161</v>
      </c>
      <c r="B44" s="412" t="s">
        <v>1365</v>
      </c>
    </row>
    <row r="45" spans="1:2" x14ac:dyDescent="0.3">
      <c r="A45" s="415" t="s">
        <v>163</v>
      </c>
      <c r="B45" s="412" t="s">
        <v>1364</v>
      </c>
    </row>
    <row r="46" spans="1:2" x14ac:dyDescent="0.3">
      <c r="A46" s="415" t="s">
        <v>165</v>
      </c>
      <c r="B46" s="412" t="s">
        <v>1362</v>
      </c>
    </row>
    <row r="47" spans="1:2" x14ac:dyDescent="0.3">
      <c r="A47" s="415" t="s">
        <v>167</v>
      </c>
      <c r="B47" s="412" t="s">
        <v>167</v>
      </c>
    </row>
    <row r="48" spans="1:2" x14ac:dyDescent="0.3">
      <c r="A48" s="415" t="s">
        <v>169</v>
      </c>
      <c r="B48" s="412" t="s">
        <v>1359</v>
      </c>
    </row>
    <row r="49" spans="1:2" x14ac:dyDescent="0.3">
      <c r="A49" s="415" t="s">
        <v>673</v>
      </c>
      <c r="B49" s="412" t="s">
        <v>1357</v>
      </c>
    </row>
    <row r="50" spans="1:2" x14ac:dyDescent="0.3">
      <c r="A50" s="415" t="s">
        <v>173</v>
      </c>
      <c r="B50" s="412" t="s">
        <v>1355</v>
      </c>
    </row>
    <row r="51" spans="1:2" x14ac:dyDescent="0.3">
      <c r="A51" s="415" t="s">
        <v>176</v>
      </c>
      <c r="B51" s="412" t="s">
        <v>1354</v>
      </c>
    </row>
    <row r="52" spans="1:2" x14ac:dyDescent="0.3">
      <c r="A52" s="415" t="s">
        <v>178</v>
      </c>
      <c r="B52" s="412" t="s">
        <v>1352</v>
      </c>
    </row>
    <row r="53" spans="1:2" x14ac:dyDescent="0.3">
      <c r="A53" s="415" t="s">
        <v>180</v>
      </c>
      <c r="B53" s="412" t="s">
        <v>1351</v>
      </c>
    </row>
    <row r="54" spans="1:2" x14ac:dyDescent="0.3">
      <c r="A54" s="415" t="s">
        <v>182</v>
      </c>
      <c r="B54" s="412" t="s">
        <v>182</v>
      </c>
    </row>
    <row r="55" spans="1:2" x14ac:dyDescent="0.3">
      <c r="A55" s="415" t="s">
        <v>184</v>
      </c>
      <c r="B55" s="412" t="s">
        <v>1346</v>
      </c>
    </row>
    <row r="56" spans="1:2" x14ac:dyDescent="0.3">
      <c r="A56" s="415" t="s">
        <v>187</v>
      </c>
      <c r="B56" s="412" t="s">
        <v>187</v>
      </c>
    </row>
    <row r="57" spans="1:2" x14ac:dyDescent="0.3">
      <c r="A57" s="415" t="s">
        <v>189</v>
      </c>
      <c r="B57" s="412" t="s">
        <v>1342</v>
      </c>
    </row>
    <row r="58" spans="1:2" x14ac:dyDescent="0.3">
      <c r="A58" s="415" t="s">
        <v>192</v>
      </c>
      <c r="B58" s="412" t="s">
        <v>1337</v>
      </c>
    </row>
    <row r="59" spans="1:2" x14ac:dyDescent="0.3">
      <c r="A59" s="415" t="s">
        <v>194</v>
      </c>
      <c r="B59" s="412" t="s">
        <v>1332</v>
      </c>
    </row>
    <row r="60" spans="1:2" x14ac:dyDescent="0.3">
      <c r="A60" s="415" t="s">
        <v>196</v>
      </c>
      <c r="B60" s="412" t="s">
        <v>1328</v>
      </c>
    </row>
    <row r="61" spans="1:2" x14ac:dyDescent="0.3">
      <c r="A61" s="415" t="s">
        <v>237</v>
      </c>
      <c r="B61" s="412" t="s">
        <v>1327</v>
      </c>
    </row>
    <row r="62" spans="1:2" x14ac:dyDescent="0.3">
      <c r="A62" s="415" t="s">
        <v>199</v>
      </c>
      <c r="B62" s="412" t="s">
        <v>199</v>
      </c>
    </row>
    <row r="63" spans="1:2" x14ac:dyDescent="0.3">
      <c r="A63" s="415" t="s">
        <v>1301</v>
      </c>
      <c r="B63" s="412" t="s">
        <v>1326</v>
      </c>
    </row>
    <row r="64" spans="1:2" x14ac:dyDescent="0.3">
      <c r="A64" s="415" t="s">
        <v>1301</v>
      </c>
      <c r="B64" s="412" t="s">
        <v>1325</v>
      </c>
    </row>
    <row r="65" spans="1:2" x14ac:dyDescent="0.3">
      <c r="A65" s="415" t="s">
        <v>1301</v>
      </c>
      <c r="B65" s="412" t="s">
        <v>1323</v>
      </c>
    </row>
    <row r="66" spans="1:2" x14ac:dyDescent="0.3">
      <c r="A66" s="415" t="s">
        <v>201</v>
      </c>
      <c r="B66" s="412" t="s">
        <v>201</v>
      </c>
    </row>
    <row r="67" spans="1:2" x14ac:dyDescent="0.3">
      <c r="A67" s="415" t="s">
        <v>203</v>
      </c>
      <c r="B67" s="412" t="s">
        <v>203</v>
      </c>
    </row>
    <row r="68" spans="1:2" x14ac:dyDescent="0.3">
      <c r="A68" s="418" t="s">
        <v>1130</v>
      </c>
      <c r="B68" s="412" t="s">
        <v>1591</v>
      </c>
    </row>
    <row r="69" spans="1:2" x14ac:dyDescent="0.3">
      <c r="A69" s="418" t="s">
        <v>1131</v>
      </c>
      <c r="B69" s="412" t="s">
        <v>1592</v>
      </c>
    </row>
    <row r="70" spans="1:2" x14ac:dyDescent="0.3">
      <c r="A70" s="418" t="s">
        <v>1132</v>
      </c>
      <c r="B70" s="412" t="s">
        <v>1593</v>
      </c>
    </row>
    <row r="71" spans="1:2" x14ac:dyDescent="0.3">
      <c r="A71" s="415" t="s">
        <v>209</v>
      </c>
      <c r="B71" s="412" t="s">
        <v>1317</v>
      </c>
    </row>
    <row r="72" spans="1:2" x14ac:dyDescent="0.3">
      <c r="A72" s="415" t="s">
        <v>211</v>
      </c>
      <c r="B72" s="412" t="s">
        <v>211</v>
      </c>
    </row>
    <row r="73" spans="1:2" x14ac:dyDescent="0.3">
      <c r="A73" s="415" t="s">
        <v>1301</v>
      </c>
      <c r="B73" s="412" t="s">
        <v>1312</v>
      </c>
    </row>
    <row r="74" spans="1:2" x14ac:dyDescent="0.3">
      <c r="A74" s="415" t="s">
        <v>215</v>
      </c>
      <c r="B74" s="412" t="s">
        <v>1311</v>
      </c>
    </row>
    <row r="75" spans="1:2" x14ac:dyDescent="0.3">
      <c r="A75" s="415" t="s">
        <v>217</v>
      </c>
      <c r="B75" s="412" t="s">
        <v>1309</v>
      </c>
    </row>
    <row r="76" spans="1:2" x14ac:dyDescent="0.3">
      <c r="A76" s="415" t="s">
        <v>219</v>
      </c>
      <c r="B76" s="412" t="s">
        <v>219</v>
      </c>
    </row>
    <row r="77" spans="1:2" x14ac:dyDescent="0.3">
      <c r="A77" s="415" t="s">
        <v>222</v>
      </c>
      <c r="B77" s="412" t="s">
        <v>1307</v>
      </c>
    </row>
    <row r="78" spans="1:2" x14ac:dyDescent="0.3">
      <c r="A78" s="415" t="s">
        <v>225</v>
      </c>
      <c r="B78" s="412" t="s">
        <v>225</v>
      </c>
    </row>
    <row r="79" spans="1:2" x14ac:dyDescent="0.3">
      <c r="A79" s="415" t="s">
        <v>674</v>
      </c>
      <c r="B79" s="412" t="s">
        <v>1305</v>
      </c>
    </row>
    <row r="80" spans="1:2" x14ac:dyDescent="0.3">
      <c r="A80" s="415" t="s">
        <v>228</v>
      </c>
      <c r="B80" s="412" t="s">
        <v>1594</v>
      </c>
    </row>
    <row r="81" spans="1:2" x14ac:dyDescent="0.3">
      <c r="A81" s="415" t="s">
        <v>230</v>
      </c>
      <c r="B81" s="412" t="s">
        <v>1595</v>
      </c>
    </row>
    <row r="82" spans="1:2" x14ac:dyDescent="0.3">
      <c r="A82" s="415" t="s">
        <v>232</v>
      </c>
      <c r="B82" s="412" t="s">
        <v>1596</v>
      </c>
    </row>
    <row r="83" spans="1:2" x14ac:dyDescent="0.3">
      <c r="A83" s="415" t="s">
        <v>235</v>
      </c>
      <c r="B83" s="412" t="s">
        <v>1597</v>
      </c>
    </row>
    <row r="84" spans="1:2" x14ac:dyDescent="0.3">
      <c r="A84" s="418" t="s">
        <v>1107</v>
      </c>
      <c r="B84" s="412" t="s">
        <v>1302</v>
      </c>
    </row>
    <row r="85" spans="1:2" x14ac:dyDescent="0.3">
      <c r="A85" s="415" t="s">
        <v>1301</v>
      </c>
      <c r="B85" s="412" t="s">
        <v>1299</v>
      </c>
    </row>
    <row r="86" spans="1:2" x14ac:dyDescent="0.3">
      <c r="A86" s="418" t="s">
        <v>238</v>
      </c>
      <c r="B86" s="412" t="s">
        <v>238</v>
      </c>
    </row>
    <row r="87" spans="1:2" ht="28.8" x14ac:dyDescent="0.3">
      <c r="A87" s="418" t="s">
        <v>1550</v>
      </c>
      <c r="B87" s="412" t="s">
        <v>1106</v>
      </c>
    </row>
    <row r="88" spans="1:2" x14ac:dyDescent="0.3">
      <c r="A88" s="415" t="s">
        <v>242</v>
      </c>
      <c r="B88" s="412" t="s">
        <v>242</v>
      </c>
    </row>
    <row r="89" spans="1:2" x14ac:dyDescent="0.3">
      <c r="A89" s="418" t="s">
        <v>244</v>
      </c>
      <c r="B89" s="412" t="s">
        <v>1293</v>
      </c>
    </row>
    <row r="90" spans="1:2" x14ac:dyDescent="0.3">
      <c r="B90" s="412"/>
    </row>
    <row r="91" spans="1:2" x14ac:dyDescent="0.3">
      <c r="B91" s="412"/>
    </row>
    <row r="92" spans="1:2" x14ac:dyDescent="0.3">
      <c r="B92" s="412"/>
    </row>
    <row r="93" spans="1:2" x14ac:dyDescent="0.3">
      <c r="B93" s="412"/>
    </row>
    <row r="94" spans="1:2" x14ac:dyDescent="0.3">
      <c r="B94" s="492"/>
    </row>
    <row r="95" spans="1:2" x14ac:dyDescent="0.3">
      <c r="B95" s="492"/>
    </row>
    <row r="96" spans="1:2" x14ac:dyDescent="0.3">
      <c r="B96" s="492"/>
    </row>
    <row r="97" spans="2:2" x14ac:dyDescent="0.3">
      <c r="B97" s="492"/>
    </row>
    <row r="98" spans="2:2" x14ac:dyDescent="0.3">
      <c r="B98" s="412"/>
    </row>
    <row r="99" spans="2:2" x14ac:dyDescent="0.3">
      <c r="B99" s="412"/>
    </row>
    <row r="100" spans="2:2" x14ac:dyDescent="0.3">
      <c r="B100" s="412"/>
    </row>
    <row r="101" spans="2:2" x14ac:dyDescent="0.3">
      <c r="B101" s="412"/>
    </row>
    <row r="102" spans="2:2" x14ac:dyDescent="0.3">
      <c r="B102" s="412"/>
    </row>
    <row r="103" spans="2:2" x14ac:dyDescent="0.3">
      <c r="B103" s="412"/>
    </row>
    <row r="104" spans="2:2" x14ac:dyDescent="0.3">
      <c r="B104" s="412"/>
    </row>
    <row r="105" spans="2:2" x14ac:dyDescent="0.3">
      <c r="B105" s="412"/>
    </row>
    <row r="106" spans="2:2" x14ac:dyDescent="0.3">
      <c r="B106" s="412"/>
    </row>
    <row r="107" spans="2:2" x14ac:dyDescent="0.3">
      <c r="B107" s="493"/>
    </row>
    <row r="108" spans="2:2" x14ac:dyDescent="0.3">
      <c r="B108" s="412"/>
    </row>
    <row r="109" spans="2:2" x14ac:dyDescent="0.3">
      <c r="B109" s="412"/>
    </row>
    <row r="110" spans="2:2" x14ac:dyDescent="0.3">
      <c r="B110" s="412"/>
    </row>
    <row r="111" spans="2:2" x14ac:dyDescent="0.3">
      <c r="B111" s="412"/>
    </row>
    <row r="112" spans="2:2" x14ac:dyDescent="0.3">
      <c r="B112" s="412"/>
    </row>
    <row r="113" spans="2:2" x14ac:dyDescent="0.3">
      <c r="B113" s="412"/>
    </row>
    <row r="114" spans="2:2" x14ac:dyDescent="0.3">
      <c r="B114" s="412"/>
    </row>
    <row r="115" spans="2:2" x14ac:dyDescent="0.3">
      <c r="B115" s="412"/>
    </row>
    <row r="116" spans="2:2" x14ac:dyDescent="0.3">
      <c r="B116" s="412"/>
    </row>
    <row r="117" spans="2:2" x14ac:dyDescent="0.3">
      <c r="B117" s="412"/>
    </row>
    <row r="118" spans="2:2" x14ac:dyDescent="0.3">
      <c r="B118" s="412"/>
    </row>
    <row r="119" spans="2:2" x14ac:dyDescent="0.3">
      <c r="B119" s="412"/>
    </row>
    <row r="120" spans="2:2" x14ac:dyDescent="0.3">
      <c r="B120" s="412"/>
    </row>
    <row r="121" spans="2:2" x14ac:dyDescent="0.3">
      <c r="B121" s="412"/>
    </row>
    <row r="122" spans="2:2" x14ac:dyDescent="0.3">
      <c r="B122" s="412"/>
    </row>
    <row r="123" spans="2:2" x14ac:dyDescent="0.3">
      <c r="B123" s="412"/>
    </row>
    <row r="124" spans="2:2" x14ac:dyDescent="0.3">
      <c r="B124" s="494"/>
    </row>
    <row r="125" spans="2:2" x14ac:dyDescent="0.3">
      <c r="B125" s="494"/>
    </row>
    <row r="126" spans="2:2" x14ac:dyDescent="0.3">
      <c r="B126" s="494"/>
    </row>
    <row r="127" spans="2:2" x14ac:dyDescent="0.3">
      <c r="B127" s="494"/>
    </row>
    <row r="128" spans="2:2" x14ac:dyDescent="0.3">
      <c r="B128" s="494"/>
    </row>
    <row r="129" spans="2:2" x14ac:dyDescent="0.3">
      <c r="B129" s="494"/>
    </row>
    <row r="130" spans="2:2" x14ac:dyDescent="0.3">
      <c r="B130" s="494"/>
    </row>
    <row r="131" spans="2:2" x14ac:dyDescent="0.3">
      <c r="B131" s="494"/>
    </row>
    <row r="132" spans="2:2" x14ac:dyDescent="0.3">
      <c r="B132" s="494"/>
    </row>
    <row r="133" spans="2:2" x14ac:dyDescent="0.3">
      <c r="B133" s="494"/>
    </row>
    <row r="134" spans="2:2" x14ac:dyDescent="0.3">
      <c r="B134" s="494"/>
    </row>
    <row r="135" spans="2:2" x14ac:dyDescent="0.3">
      <c r="B135" s="494"/>
    </row>
    <row r="136" spans="2:2" x14ac:dyDescent="0.3">
      <c r="B136" s="494"/>
    </row>
    <row r="137" spans="2:2" x14ac:dyDescent="0.3">
      <c r="B137" s="494"/>
    </row>
    <row r="138" spans="2:2" x14ac:dyDescent="0.3">
      <c r="B138" s="494"/>
    </row>
    <row r="139" spans="2:2" x14ac:dyDescent="0.3">
      <c r="B139" s="494"/>
    </row>
    <row r="140" spans="2:2" x14ac:dyDescent="0.3">
      <c r="B140" s="494"/>
    </row>
    <row r="141" spans="2:2" x14ac:dyDescent="0.3">
      <c r="B141" s="494"/>
    </row>
    <row r="142" spans="2:2" x14ac:dyDescent="0.3">
      <c r="B142" s="494"/>
    </row>
    <row r="143" spans="2:2" x14ac:dyDescent="0.3">
      <c r="B143" s="494"/>
    </row>
    <row r="144" spans="2:2" x14ac:dyDescent="0.3">
      <c r="B144" s="494"/>
    </row>
    <row r="145" spans="2:2" x14ac:dyDescent="0.3">
      <c r="B145" s="494"/>
    </row>
    <row r="146" spans="2:2" x14ac:dyDescent="0.3">
      <c r="B146" s="494"/>
    </row>
    <row r="147" spans="2:2" x14ac:dyDescent="0.3">
      <c r="B147" s="494"/>
    </row>
    <row r="148" spans="2:2" x14ac:dyDescent="0.3">
      <c r="B148" s="494"/>
    </row>
    <row r="149" spans="2:2" x14ac:dyDescent="0.3">
      <c r="B149" s="494"/>
    </row>
    <row r="150" spans="2:2" x14ac:dyDescent="0.3">
      <c r="B150" s="494"/>
    </row>
    <row r="151" spans="2:2" x14ac:dyDescent="0.3">
      <c r="B151" s="494"/>
    </row>
    <row r="152" spans="2:2" x14ac:dyDescent="0.3">
      <c r="B152" s="494"/>
    </row>
    <row r="153" spans="2:2" x14ac:dyDescent="0.3">
      <c r="B153" s="494"/>
    </row>
    <row r="154" spans="2:2" x14ac:dyDescent="0.3">
      <c r="B154" s="494"/>
    </row>
    <row r="155" spans="2:2" x14ac:dyDescent="0.3">
      <c r="B155" s="412"/>
    </row>
    <row r="156" spans="2:2" x14ac:dyDescent="0.3">
      <c r="B156" s="412"/>
    </row>
    <row r="157" spans="2:2" x14ac:dyDescent="0.3">
      <c r="B157" s="412"/>
    </row>
    <row r="158" spans="2:2" x14ac:dyDescent="0.3">
      <c r="B158" s="412"/>
    </row>
    <row r="159" spans="2:2" x14ac:dyDescent="0.3">
      <c r="B159" s="412"/>
    </row>
    <row r="160" spans="2:2" x14ac:dyDescent="0.3">
      <c r="B160" s="412"/>
    </row>
  </sheetData>
  <conditionalFormatting sqref="A1:B1048576">
    <cfRule type="expression" dxfId="557" priority="1">
      <formula>$A1&lt;&gt;$B1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89"/>
  <sheetViews>
    <sheetView workbookViewId="0">
      <selection activeCell="H9" sqref="H9"/>
    </sheetView>
  </sheetViews>
  <sheetFormatPr defaultRowHeight="14.4" x14ac:dyDescent="0.3"/>
  <cols>
    <col min="1" max="1" width="8.88671875" style="15"/>
    <col min="2" max="2" width="48.6640625" style="15" customWidth="1"/>
    <col min="3" max="4" width="30.5546875" style="15" customWidth="1"/>
    <col min="5" max="5" width="21.109375" style="15" customWidth="1"/>
    <col min="6" max="6" width="17.21875" style="15" customWidth="1"/>
    <col min="7" max="7" width="26.88671875" style="15" customWidth="1"/>
    <col min="8" max="8" width="27.33203125" style="15" customWidth="1"/>
    <col min="9" max="9" width="21" style="15" customWidth="1"/>
    <col min="10" max="16384" width="8.88671875" style="15"/>
  </cols>
  <sheetData>
    <row r="1" spans="1:9" x14ac:dyDescent="0.3">
      <c r="A1" s="15" t="s">
        <v>1533</v>
      </c>
      <c r="B1" s="15" t="s">
        <v>1</v>
      </c>
      <c r="C1" s="15" t="s">
        <v>1553</v>
      </c>
      <c r="D1" s="15" t="s">
        <v>1562</v>
      </c>
      <c r="E1" s="15" t="s">
        <v>661</v>
      </c>
      <c r="F1" s="15" t="s">
        <v>1535</v>
      </c>
      <c r="H1" s="15" t="s">
        <v>1554</v>
      </c>
      <c r="I1" s="15" t="s">
        <v>1555</v>
      </c>
    </row>
    <row r="2" spans="1:9" x14ac:dyDescent="0.3">
      <c r="A2" s="15">
        <v>0</v>
      </c>
      <c r="B2" s="415" t="s">
        <v>64</v>
      </c>
      <c r="C2" s="15" t="s">
        <v>1556</v>
      </c>
      <c r="D2" s="15" t="s">
        <v>1556</v>
      </c>
      <c r="E2" s="314">
        <v>1</v>
      </c>
      <c r="F2" s="15">
        <v>0</v>
      </c>
      <c r="G2" s="205" t="s">
        <v>65</v>
      </c>
      <c r="H2" s="312" t="s">
        <v>613</v>
      </c>
    </row>
    <row r="3" spans="1:9" x14ac:dyDescent="0.3">
      <c r="A3" s="15">
        <v>1</v>
      </c>
      <c r="B3" s="415" t="s">
        <v>67</v>
      </c>
      <c r="C3" s="15" t="s">
        <v>1556</v>
      </c>
      <c r="D3" s="15" t="s">
        <v>1556</v>
      </c>
      <c r="E3" s="314">
        <v>1</v>
      </c>
      <c r="F3" s="15">
        <f t="shared" ref="F3:F34" si="0">E2+F2</f>
        <v>1</v>
      </c>
      <c r="G3" s="205" t="s">
        <v>68</v>
      </c>
      <c r="H3" s="312" t="s">
        <v>613</v>
      </c>
    </row>
    <row r="4" spans="1:9" x14ac:dyDescent="0.3">
      <c r="A4" s="15">
        <v>2</v>
      </c>
      <c r="B4" s="415" t="s">
        <v>71</v>
      </c>
      <c r="C4" s="15" t="s">
        <v>1556</v>
      </c>
      <c r="D4" s="15" t="s">
        <v>1556</v>
      </c>
      <c r="E4" s="314">
        <v>1</v>
      </c>
      <c r="F4" s="15">
        <f t="shared" si="0"/>
        <v>2</v>
      </c>
      <c r="G4" s="204" t="s">
        <v>72</v>
      </c>
      <c r="H4" s="312" t="s">
        <v>70</v>
      </c>
      <c r="I4" s="15">
        <v>1</v>
      </c>
    </row>
    <row r="5" spans="1:9" x14ac:dyDescent="0.3">
      <c r="A5" s="15">
        <v>3</v>
      </c>
      <c r="B5" s="415" t="s">
        <v>73</v>
      </c>
      <c r="C5" s="15" t="s">
        <v>1556</v>
      </c>
      <c r="D5" s="15" t="s">
        <v>1556</v>
      </c>
      <c r="E5" s="314">
        <v>1</v>
      </c>
      <c r="F5" s="15">
        <f t="shared" si="0"/>
        <v>3</v>
      </c>
      <c r="G5" s="205" t="s">
        <v>74</v>
      </c>
      <c r="H5" s="312" t="s">
        <v>613</v>
      </c>
    </row>
    <row r="6" spans="1:9" x14ac:dyDescent="0.3">
      <c r="A6" s="15">
        <v>4</v>
      </c>
      <c r="B6" s="415" t="s">
        <v>76</v>
      </c>
      <c r="C6" s="15" t="s">
        <v>1557</v>
      </c>
      <c r="D6" s="15" t="s">
        <v>1557</v>
      </c>
      <c r="E6" s="314">
        <v>1</v>
      </c>
      <c r="F6" s="15">
        <f t="shared" si="0"/>
        <v>4</v>
      </c>
      <c r="G6" s="204" t="s">
        <v>77</v>
      </c>
      <c r="H6" s="312" t="s">
        <v>75</v>
      </c>
      <c r="I6" s="15">
        <v>0</v>
      </c>
    </row>
    <row r="7" spans="1:9" x14ac:dyDescent="0.3">
      <c r="A7" s="15">
        <v>5</v>
      </c>
      <c r="B7" s="415" t="s">
        <v>79</v>
      </c>
      <c r="C7" s="15" t="s">
        <v>1557</v>
      </c>
      <c r="D7" s="15" t="s">
        <v>1557</v>
      </c>
      <c r="E7" s="314">
        <v>1</v>
      </c>
      <c r="F7" s="15">
        <f t="shared" si="0"/>
        <v>5</v>
      </c>
      <c r="G7" s="204" t="s">
        <v>80</v>
      </c>
      <c r="H7" s="312" t="s">
        <v>75</v>
      </c>
      <c r="I7" s="15">
        <v>0</v>
      </c>
    </row>
    <row r="8" spans="1:9" x14ac:dyDescent="0.3">
      <c r="A8" s="15">
        <v>6</v>
      </c>
      <c r="B8" s="415" t="s">
        <v>81</v>
      </c>
      <c r="C8" s="15" t="s">
        <v>1556</v>
      </c>
      <c r="D8" s="15" t="s">
        <v>1556</v>
      </c>
      <c r="E8" s="314">
        <v>1</v>
      </c>
      <c r="F8" s="15">
        <f t="shared" si="0"/>
        <v>6</v>
      </c>
      <c r="G8" s="205" t="s">
        <v>82</v>
      </c>
      <c r="H8" s="278" t="s">
        <v>1180</v>
      </c>
      <c r="I8" s="15">
        <v>1</v>
      </c>
    </row>
    <row r="9" spans="1:9" x14ac:dyDescent="0.3">
      <c r="A9" s="15">
        <v>7</v>
      </c>
      <c r="B9" s="415" t="s">
        <v>83</v>
      </c>
      <c r="C9" s="15" t="s">
        <v>1556</v>
      </c>
      <c r="D9" s="15" t="s">
        <v>1556</v>
      </c>
      <c r="E9" s="314">
        <v>1</v>
      </c>
      <c r="F9" s="15">
        <f t="shared" si="0"/>
        <v>7</v>
      </c>
      <c r="G9" s="205" t="s">
        <v>84</v>
      </c>
      <c r="H9" s="502" t="s">
        <v>1529</v>
      </c>
      <c r="I9" s="15">
        <v>1</v>
      </c>
    </row>
    <row r="10" spans="1:9" x14ac:dyDescent="0.3">
      <c r="A10" s="15">
        <v>8</v>
      </c>
      <c r="B10" s="415" t="s">
        <v>85</v>
      </c>
      <c r="C10" s="15" t="s">
        <v>1556</v>
      </c>
      <c r="D10" s="15" t="s">
        <v>1556</v>
      </c>
      <c r="E10" s="314">
        <v>1</v>
      </c>
      <c r="F10" s="15">
        <f t="shared" si="0"/>
        <v>8</v>
      </c>
      <c r="G10" s="205" t="s">
        <v>86</v>
      </c>
      <c r="H10" s="312" t="s">
        <v>613</v>
      </c>
    </row>
    <row r="11" spans="1:9" ht="28.8" x14ac:dyDescent="0.3">
      <c r="A11" s="15">
        <v>9</v>
      </c>
      <c r="B11" s="415" t="s">
        <v>811</v>
      </c>
      <c r="C11" s="15" t="s">
        <v>1557</v>
      </c>
      <c r="D11" s="15" t="s">
        <v>1557</v>
      </c>
      <c r="E11" s="314">
        <v>1</v>
      </c>
      <c r="F11" s="15">
        <f t="shared" si="0"/>
        <v>9</v>
      </c>
      <c r="G11" s="207" t="s">
        <v>88</v>
      </c>
      <c r="H11" s="312" t="s">
        <v>809</v>
      </c>
      <c r="I11" s="15">
        <v>0</v>
      </c>
    </row>
    <row r="12" spans="1:9" x14ac:dyDescent="0.3">
      <c r="A12" s="15">
        <v>10</v>
      </c>
      <c r="B12" s="415" t="s">
        <v>89</v>
      </c>
      <c r="C12" s="15" t="s">
        <v>1557</v>
      </c>
      <c r="D12" s="15" t="s">
        <v>1557</v>
      </c>
      <c r="E12" s="314">
        <v>1</v>
      </c>
      <c r="F12" s="15">
        <f t="shared" si="0"/>
        <v>10</v>
      </c>
      <c r="G12" s="204" t="s">
        <v>90</v>
      </c>
      <c r="H12" s="312" t="s">
        <v>647</v>
      </c>
      <c r="I12" s="15">
        <v>0</v>
      </c>
    </row>
    <row r="13" spans="1:9" x14ac:dyDescent="0.3">
      <c r="A13" s="15">
        <v>11</v>
      </c>
      <c r="B13" s="415" t="s">
        <v>92</v>
      </c>
      <c r="C13" s="15" t="s">
        <v>1557</v>
      </c>
      <c r="D13" s="15" t="s">
        <v>1557</v>
      </c>
      <c r="E13" s="314">
        <v>1</v>
      </c>
      <c r="F13" s="15">
        <f t="shared" si="0"/>
        <v>11</v>
      </c>
      <c r="G13" s="204" t="s">
        <v>93</v>
      </c>
      <c r="H13" s="312" t="s">
        <v>91</v>
      </c>
      <c r="I13" s="15">
        <v>0</v>
      </c>
    </row>
    <row r="14" spans="1:9" x14ac:dyDescent="0.3">
      <c r="A14" s="15">
        <v>12</v>
      </c>
      <c r="B14" s="415" t="s">
        <v>94</v>
      </c>
      <c r="C14" s="15" t="s">
        <v>1557</v>
      </c>
      <c r="D14" s="15" t="s">
        <v>1557</v>
      </c>
      <c r="E14" s="314">
        <v>1</v>
      </c>
      <c r="F14" s="15">
        <f t="shared" si="0"/>
        <v>12</v>
      </c>
      <c r="G14" s="204" t="s">
        <v>95</v>
      </c>
      <c r="H14" s="312" t="s">
        <v>649</v>
      </c>
      <c r="I14" s="15">
        <v>0</v>
      </c>
    </row>
    <row r="15" spans="1:9" x14ac:dyDescent="0.3">
      <c r="A15" s="15">
        <v>13</v>
      </c>
      <c r="B15" s="415" t="s">
        <v>96</v>
      </c>
      <c r="C15" s="15" t="s">
        <v>1557</v>
      </c>
      <c r="D15" s="15" t="s">
        <v>1557</v>
      </c>
      <c r="E15" s="314">
        <v>1</v>
      </c>
      <c r="F15" s="15">
        <f t="shared" si="0"/>
        <v>13</v>
      </c>
      <c r="G15" s="204" t="s">
        <v>97</v>
      </c>
      <c r="H15" s="312" t="s">
        <v>172</v>
      </c>
      <c r="I15" s="15">
        <v>0</v>
      </c>
    </row>
    <row r="16" spans="1:9" x14ac:dyDescent="0.3">
      <c r="A16" s="15">
        <v>14</v>
      </c>
      <c r="B16" s="415" t="s">
        <v>98</v>
      </c>
      <c r="C16" s="15" t="s">
        <v>1556</v>
      </c>
      <c r="D16" s="15" t="s">
        <v>1556</v>
      </c>
      <c r="E16" s="314">
        <v>1</v>
      </c>
      <c r="F16" s="15">
        <f t="shared" si="0"/>
        <v>14</v>
      </c>
      <c r="G16" s="205" t="s">
        <v>99</v>
      </c>
      <c r="H16" s="312" t="s">
        <v>613</v>
      </c>
    </row>
    <row r="17" spans="1:9" x14ac:dyDescent="0.3">
      <c r="A17" s="15">
        <v>15</v>
      </c>
      <c r="B17" s="415" t="s">
        <v>101</v>
      </c>
      <c r="C17" s="15" t="s">
        <v>1557</v>
      </c>
      <c r="D17" s="15" t="s">
        <v>1557</v>
      </c>
      <c r="E17" s="314">
        <v>1</v>
      </c>
      <c r="F17" s="15">
        <f t="shared" si="0"/>
        <v>15</v>
      </c>
      <c r="G17" s="204" t="s">
        <v>102</v>
      </c>
      <c r="H17" s="312" t="s">
        <v>100</v>
      </c>
      <c r="I17" s="15">
        <v>0</v>
      </c>
    </row>
    <row r="18" spans="1:9" x14ac:dyDescent="0.3">
      <c r="A18" s="15">
        <v>16</v>
      </c>
      <c r="B18" s="415" t="s">
        <v>103</v>
      </c>
      <c r="C18" s="15" t="s">
        <v>1556</v>
      </c>
      <c r="D18" s="15" t="s">
        <v>1556</v>
      </c>
      <c r="E18" s="314">
        <v>1</v>
      </c>
      <c r="F18" s="15">
        <f t="shared" si="0"/>
        <v>16</v>
      </c>
      <c r="G18" s="205" t="s">
        <v>104</v>
      </c>
      <c r="H18" s="312" t="s">
        <v>613</v>
      </c>
    </row>
    <row r="19" spans="1:9" x14ac:dyDescent="0.3">
      <c r="A19" s="15">
        <v>17</v>
      </c>
      <c r="B19" s="415" t="s">
        <v>105</v>
      </c>
      <c r="C19" s="15" t="s">
        <v>1556</v>
      </c>
      <c r="D19" s="15" t="s">
        <v>1556</v>
      </c>
      <c r="E19" s="314">
        <v>1</v>
      </c>
      <c r="F19" s="15">
        <f t="shared" si="0"/>
        <v>17</v>
      </c>
      <c r="G19" s="205" t="s">
        <v>106</v>
      </c>
      <c r="H19" s="312" t="s">
        <v>613</v>
      </c>
    </row>
    <row r="20" spans="1:9" x14ac:dyDescent="0.3">
      <c r="A20" s="15">
        <v>18</v>
      </c>
      <c r="B20" s="415" t="s">
        <v>107</v>
      </c>
      <c r="C20" s="15" t="s">
        <v>1557</v>
      </c>
      <c r="D20" s="15" t="s">
        <v>1557</v>
      </c>
      <c r="E20" s="314">
        <v>5</v>
      </c>
      <c r="F20" s="15">
        <f t="shared" si="0"/>
        <v>18</v>
      </c>
      <c r="G20" s="204" t="s">
        <v>1123</v>
      </c>
      <c r="H20" s="312" t="s">
        <v>100</v>
      </c>
      <c r="I20" s="15">
        <v>0</v>
      </c>
    </row>
    <row r="21" spans="1:9" ht="28.8" x14ac:dyDescent="0.3">
      <c r="A21" s="15">
        <v>19</v>
      </c>
      <c r="B21" s="416" t="s">
        <v>109</v>
      </c>
      <c r="C21" s="15" t="s">
        <v>1557</v>
      </c>
      <c r="D21" s="15" t="s">
        <v>1557</v>
      </c>
      <c r="E21" s="341">
        <v>1</v>
      </c>
      <c r="F21" s="15">
        <f t="shared" si="0"/>
        <v>23</v>
      </c>
      <c r="G21" s="204" t="s">
        <v>110</v>
      </c>
      <c r="H21" s="339" t="s">
        <v>108</v>
      </c>
      <c r="I21" s="15">
        <v>0</v>
      </c>
    </row>
    <row r="22" spans="1:9" ht="28.8" x14ac:dyDescent="0.3">
      <c r="A22" s="15">
        <v>20</v>
      </c>
      <c r="B22" s="416" t="s">
        <v>111</v>
      </c>
      <c r="C22" s="15" t="s">
        <v>1557</v>
      </c>
      <c r="D22" s="15" t="s">
        <v>1557</v>
      </c>
      <c r="E22" s="341">
        <v>1</v>
      </c>
      <c r="F22" s="15">
        <f t="shared" si="0"/>
        <v>24</v>
      </c>
      <c r="G22" s="204" t="s">
        <v>112</v>
      </c>
      <c r="H22" s="339" t="s">
        <v>108</v>
      </c>
      <c r="I22" s="15">
        <v>0</v>
      </c>
    </row>
    <row r="23" spans="1:9" ht="28.8" x14ac:dyDescent="0.3">
      <c r="A23" s="15">
        <v>21</v>
      </c>
      <c r="B23" s="416" t="s">
        <v>113</v>
      </c>
      <c r="C23" s="15" t="s">
        <v>1557</v>
      </c>
      <c r="D23" s="15" t="s">
        <v>1557</v>
      </c>
      <c r="E23" s="341">
        <v>1</v>
      </c>
      <c r="F23" s="15">
        <f t="shared" si="0"/>
        <v>25</v>
      </c>
      <c r="G23" s="204" t="s">
        <v>114</v>
      </c>
      <c r="H23" s="339" t="s">
        <v>108</v>
      </c>
      <c r="I23" s="15">
        <v>0</v>
      </c>
    </row>
    <row r="24" spans="1:9" ht="28.8" x14ac:dyDescent="0.3">
      <c r="A24" s="15">
        <v>22</v>
      </c>
      <c r="B24" s="416" t="s">
        <v>115</v>
      </c>
      <c r="C24" s="15" t="s">
        <v>1557</v>
      </c>
      <c r="D24" s="15" t="s">
        <v>1557</v>
      </c>
      <c r="E24" s="341">
        <v>1</v>
      </c>
      <c r="F24" s="15">
        <f t="shared" si="0"/>
        <v>26</v>
      </c>
      <c r="G24" s="204" t="s">
        <v>116</v>
      </c>
      <c r="H24" s="339" t="s">
        <v>108</v>
      </c>
      <c r="I24" s="15">
        <v>0</v>
      </c>
    </row>
    <row r="25" spans="1:9" ht="28.8" x14ac:dyDescent="0.3">
      <c r="A25" s="15">
        <v>23</v>
      </c>
      <c r="B25" s="416" t="s">
        <v>117</v>
      </c>
      <c r="C25" s="15" t="s">
        <v>1557</v>
      </c>
      <c r="D25" s="15" t="s">
        <v>1557</v>
      </c>
      <c r="E25" s="341">
        <v>1</v>
      </c>
      <c r="F25" s="15">
        <f t="shared" si="0"/>
        <v>27</v>
      </c>
      <c r="G25" s="204" t="s">
        <v>118</v>
      </c>
      <c r="H25" s="339" t="s">
        <v>108</v>
      </c>
      <c r="I25" s="15">
        <v>0</v>
      </c>
    </row>
    <row r="26" spans="1:9" x14ac:dyDescent="0.3">
      <c r="A26" s="15">
        <v>24</v>
      </c>
      <c r="B26" s="415" t="s">
        <v>120</v>
      </c>
      <c r="C26" s="15" t="s">
        <v>1557</v>
      </c>
      <c r="D26" s="15" t="s">
        <v>1557</v>
      </c>
      <c r="E26" s="314">
        <v>1</v>
      </c>
      <c r="F26" s="15">
        <f t="shared" si="0"/>
        <v>28</v>
      </c>
      <c r="G26" s="204" t="s">
        <v>121</v>
      </c>
      <c r="H26" s="312" t="s">
        <v>119</v>
      </c>
      <c r="I26" s="15">
        <v>0</v>
      </c>
    </row>
    <row r="27" spans="1:9" x14ac:dyDescent="0.3">
      <c r="A27" s="15">
        <v>25</v>
      </c>
      <c r="B27" s="415" t="s">
        <v>123</v>
      </c>
      <c r="C27" s="15" t="s">
        <v>1557</v>
      </c>
      <c r="D27" s="15" t="s">
        <v>1557</v>
      </c>
      <c r="E27" s="314">
        <v>1</v>
      </c>
      <c r="F27" s="15">
        <f t="shared" si="0"/>
        <v>29</v>
      </c>
      <c r="G27" s="204" t="s">
        <v>124</v>
      </c>
      <c r="H27" s="312" t="s">
        <v>122</v>
      </c>
      <c r="I27" s="15">
        <v>0</v>
      </c>
    </row>
    <row r="28" spans="1:9" x14ac:dyDescent="0.3">
      <c r="A28" s="15">
        <v>26</v>
      </c>
      <c r="B28" s="415" t="s">
        <v>126</v>
      </c>
      <c r="C28" s="15" t="s">
        <v>1557</v>
      </c>
      <c r="D28" s="15" t="s">
        <v>1557</v>
      </c>
      <c r="E28" s="314">
        <v>1</v>
      </c>
      <c r="F28" s="15">
        <f t="shared" si="0"/>
        <v>30</v>
      </c>
      <c r="G28" s="204" t="s">
        <v>127</v>
      </c>
      <c r="H28" s="312" t="s">
        <v>125</v>
      </c>
      <c r="I28" s="15">
        <v>0</v>
      </c>
    </row>
    <row r="29" spans="1:9" x14ac:dyDescent="0.3">
      <c r="A29" s="15">
        <v>27</v>
      </c>
      <c r="B29" s="415" t="s">
        <v>129</v>
      </c>
      <c r="C29" s="15" t="s">
        <v>1557</v>
      </c>
      <c r="D29" s="15" t="s">
        <v>1557</v>
      </c>
      <c r="E29" s="314">
        <v>3</v>
      </c>
      <c r="F29" s="15">
        <f t="shared" si="0"/>
        <v>31</v>
      </c>
      <c r="G29" s="204" t="s">
        <v>130</v>
      </c>
      <c r="H29" s="312" t="s">
        <v>100</v>
      </c>
      <c r="I29" s="15">
        <v>0</v>
      </c>
    </row>
    <row r="30" spans="1:9" ht="28.8" x14ac:dyDescent="0.3">
      <c r="A30" s="15">
        <v>28</v>
      </c>
      <c r="B30" s="416" t="s">
        <v>131</v>
      </c>
      <c r="C30" s="15" t="s">
        <v>1557</v>
      </c>
      <c r="D30" s="15" t="s">
        <v>1557</v>
      </c>
      <c r="E30" s="341">
        <v>1</v>
      </c>
      <c r="F30" s="15">
        <f t="shared" si="0"/>
        <v>34</v>
      </c>
      <c r="G30" s="204" t="s">
        <v>132</v>
      </c>
      <c r="H30" s="339" t="s">
        <v>108</v>
      </c>
      <c r="I30" s="15">
        <v>0</v>
      </c>
    </row>
    <row r="31" spans="1:9" x14ac:dyDescent="0.3">
      <c r="A31" s="15">
        <v>29</v>
      </c>
      <c r="B31" s="416" t="s">
        <v>1301</v>
      </c>
      <c r="C31" s="15" t="s">
        <v>1557</v>
      </c>
      <c r="D31" s="15" t="s">
        <v>1557</v>
      </c>
      <c r="E31" s="341">
        <v>1</v>
      </c>
      <c r="F31" s="15">
        <f t="shared" si="0"/>
        <v>35</v>
      </c>
      <c r="G31" s="204" t="s">
        <v>374</v>
      </c>
      <c r="H31" s="339" t="s">
        <v>48</v>
      </c>
      <c r="I31" s="15">
        <v>0</v>
      </c>
    </row>
    <row r="32" spans="1:9" ht="28.8" x14ac:dyDescent="0.3">
      <c r="A32" s="15">
        <v>30</v>
      </c>
      <c r="B32" s="416" t="s">
        <v>376</v>
      </c>
      <c r="C32" s="15" t="s">
        <v>1557</v>
      </c>
      <c r="D32" s="15" t="s">
        <v>1557</v>
      </c>
      <c r="E32" s="341">
        <v>1</v>
      </c>
      <c r="F32" s="15">
        <f t="shared" si="0"/>
        <v>36</v>
      </c>
      <c r="G32" s="204" t="s">
        <v>375</v>
      </c>
      <c r="H32" s="339" t="s">
        <v>1148</v>
      </c>
      <c r="I32" s="15">
        <v>0</v>
      </c>
    </row>
    <row r="33" spans="1:9" x14ac:dyDescent="0.3">
      <c r="A33" s="15">
        <v>31</v>
      </c>
      <c r="B33" s="417" t="s">
        <v>134</v>
      </c>
      <c r="C33" s="15" t="s">
        <v>1557</v>
      </c>
      <c r="D33" s="15" t="s">
        <v>1557</v>
      </c>
      <c r="E33" s="314">
        <v>1</v>
      </c>
      <c r="F33" s="15">
        <f t="shared" si="0"/>
        <v>37</v>
      </c>
      <c r="G33" s="204" t="s">
        <v>135</v>
      </c>
      <c r="H33" s="312" t="s">
        <v>133</v>
      </c>
      <c r="I33" s="15">
        <v>0</v>
      </c>
    </row>
    <row r="34" spans="1:9" x14ac:dyDescent="0.3">
      <c r="A34" s="15">
        <v>32</v>
      </c>
      <c r="B34" s="415" t="s">
        <v>136</v>
      </c>
      <c r="C34" s="15" t="s">
        <v>1557</v>
      </c>
      <c r="D34" s="15" t="s">
        <v>1557</v>
      </c>
      <c r="E34" s="314">
        <v>1</v>
      </c>
      <c r="F34" s="15">
        <f t="shared" si="0"/>
        <v>38</v>
      </c>
      <c r="G34" s="204" t="s">
        <v>137</v>
      </c>
      <c r="H34" s="312" t="s">
        <v>125</v>
      </c>
      <c r="I34" s="15">
        <v>0</v>
      </c>
    </row>
    <row r="35" spans="1:9" x14ac:dyDescent="0.3">
      <c r="A35" s="15">
        <v>33</v>
      </c>
      <c r="B35" s="415" t="s">
        <v>138</v>
      </c>
      <c r="C35" s="15" t="s">
        <v>1556</v>
      </c>
      <c r="D35" s="15" t="s">
        <v>1556</v>
      </c>
      <c r="E35" s="314">
        <v>1</v>
      </c>
      <c r="F35" s="15">
        <f t="shared" ref="F35:F66" si="1">E34+F34</f>
        <v>39</v>
      </c>
      <c r="G35" s="205" t="s">
        <v>139</v>
      </c>
      <c r="H35" s="312" t="s">
        <v>613</v>
      </c>
    </row>
    <row r="36" spans="1:9" x14ac:dyDescent="0.3">
      <c r="A36" s="15">
        <v>34</v>
      </c>
      <c r="B36" s="415" t="s">
        <v>142</v>
      </c>
      <c r="C36" s="15" t="s">
        <v>1557</v>
      </c>
      <c r="D36" s="15" t="s">
        <v>1557</v>
      </c>
      <c r="E36" s="314">
        <v>1</v>
      </c>
      <c r="F36" s="15">
        <f t="shared" si="1"/>
        <v>40</v>
      </c>
      <c r="G36" s="204" t="s">
        <v>143</v>
      </c>
      <c r="H36" s="312" t="s">
        <v>640</v>
      </c>
      <c r="I36" s="15">
        <v>0</v>
      </c>
    </row>
    <row r="37" spans="1:9" x14ac:dyDescent="0.3">
      <c r="A37" s="15">
        <v>35</v>
      </c>
      <c r="B37" s="415" t="s">
        <v>145</v>
      </c>
      <c r="C37" s="15" t="s">
        <v>1557</v>
      </c>
      <c r="D37" s="15" t="s">
        <v>1557</v>
      </c>
      <c r="E37" s="314">
        <v>1</v>
      </c>
      <c r="F37" s="15">
        <f t="shared" si="1"/>
        <v>41</v>
      </c>
      <c r="G37" s="204" t="s">
        <v>146</v>
      </c>
      <c r="H37" s="312" t="s">
        <v>144</v>
      </c>
      <c r="I37" s="15">
        <v>0</v>
      </c>
    </row>
    <row r="38" spans="1:9" x14ac:dyDescent="0.3">
      <c r="A38" s="15">
        <v>36</v>
      </c>
      <c r="B38" s="415" t="s">
        <v>148</v>
      </c>
      <c r="C38" s="15" t="s">
        <v>1557</v>
      </c>
      <c r="D38" s="15" t="s">
        <v>1557</v>
      </c>
      <c r="E38" s="314">
        <v>1</v>
      </c>
      <c r="F38" s="15">
        <f t="shared" si="1"/>
        <v>42</v>
      </c>
      <c r="G38" s="204" t="s">
        <v>149</v>
      </c>
      <c r="H38" s="312" t="s">
        <v>147</v>
      </c>
      <c r="I38" s="15">
        <v>0</v>
      </c>
    </row>
    <row r="39" spans="1:9" x14ac:dyDescent="0.3">
      <c r="A39" s="15">
        <v>37</v>
      </c>
      <c r="B39" s="415" t="s">
        <v>150</v>
      </c>
      <c r="C39" s="15" t="s">
        <v>1556</v>
      </c>
      <c r="D39" s="15" t="s">
        <v>1556</v>
      </c>
      <c r="E39" s="314">
        <v>1</v>
      </c>
      <c r="F39" s="15">
        <f t="shared" si="1"/>
        <v>43</v>
      </c>
      <c r="G39" s="205" t="s">
        <v>151</v>
      </c>
      <c r="H39" s="279" t="s">
        <v>1182</v>
      </c>
      <c r="I39" s="15">
        <v>1</v>
      </c>
    </row>
    <row r="40" spans="1:9" x14ac:dyDescent="0.3">
      <c r="A40" s="15">
        <v>38</v>
      </c>
      <c r="B40" s="415" t="s">
        <v>153</v>
      </c>
      <c r="C40" s="15" t="s">
        <v>1557</v>
      </c>
      <c r="D40" s="15" t="s">
        <v>1557</v>
      </c>
      <c r="E40" s="314">
        <v>1</v>
      </c>
      <c r="F40" s="15">
        <f t="shared" si="1"/>
        <v>44</v>
      </c>
      <c r="G40" s="204" t="s">
        <v>154</v>
      </c>
      <c r="H40" s="312" t="s">
        <v>643</v>
      </c>
      <c r="I40" s="15">
        <v>0</v>
      </c>
    </row>
    <row r="41" spans="1:9" x14ac:dyDescent="0.3">
      <c r="A41" s="15">
        <v>39</v>
      </c>
      <c r="B41" s="415" t="s">
        <v>155</v>
      </c>
      <c r="C41" s="15" t="s">
        <v>1557</v>
      </c>
      <c r="D41" s="15" t="s">
        <v>1557</v>
      </c>
      <c r="E41" s="314">
        <v>1</v>
      </c>
      <c r="F41" s="15">
        <f t="shared" si="1"/>
        <v>45</v>
      </c>
      <c r="G41" s="204" t="s">
        <v>156</v>
      </c>
      <c r="H41" s="312" t="s">
        <v>636</v>
      </c>
      <c r="I41" s="15">
        <v>0</v>
      </c>
    </row>
    <row r="42" spans="1:9" x14ac:dyDescent="0.3">
      <c r="A42" s="15">
        <v>40</v>
      </c>
      <c r="B42" s="415" t="s">
        <v>157</v>
      </c>
      <c r="C42" s="15" t="s">
        <v>1556</v>
      </c>
      <c r="D42" s="15" t="s">
        <v>1556</v>
      </c>
      <c r="E42" s="314">
        <v>1</v>
      </c>
      <c r="F42" s="15">
        <f t="shared" si="1"/>
        <v>46</v>
      </c>
      <c r="G42" s="205" t="s">
        <v>158</v>
      </c>
      <c r="H42" s="269" t="s">
        <v>157</v>
      </c>
      <c r="I42" s="15">
        <v>1</v>
      </c>
    </row>
    <row r="43" spans="1:9" x14ac:dyDescent="0.3">
      <c r="A43" s="15">
        <v>41</v>
      </c>
      <c r="B43" s="415" t="s">
        <v>159</v>
      </c>
      <c r="C43" s="15" t="s">
        <v>1556</v>
      </c>
      <c r="D43" s="15" t="s">
        <v>1556</v>
      </c>
      <c r="E43" s="314">
        <v>1</v>
      </c>
      <c r="F43" s="15">
        <f t="shared" si="1"/>
        <v>47</v>
      </c>
      <c r="G43" s="204" t="s">
        <v>160</v>
      </c>
      <c r="H43" s="312" t="s">
        <v>645</v>
      </c>
      <c r="I43" s="15">
        <v>1</v>
      </c>
    </row>
    <row r="44" spans="1:9" x14ac:dyDescent="0.3">
      <c r="A44" s="15">
        <v>42</v>
      </c>
      <c r="B44" s="415" t="s">
        <v>161</v>
      </c>
      <c r="C44" s="15" t="s">
        <v>1557</v>
      </c>
      <c r="D44" s="15" t="s">
        <v>1557</v>
      </c>
      <c r="E44" s="314">
        <v>1</v>
      </c>
      <c r="F44" s="15">
        <f t="shared" si="1"/>
        <v>48</v>
      </c>
      <c r="G44" s="204" t="s">
        <v>162</v>
      </c>
      <c r="H44" s="312" t="s">
        <v>641</v>
      </c>
      <c r="I44" s="15">
        <v>0</v>
      </c>
    </row>
    <row r="45" spans="1:9" ht="28.8" x14ac:dyDescent="0.3">
      <c r="A45" s="15">
        <v>43</v>
      </c>
      <c r="B45" s="415" t="s">
        <v>163</v>
      </c>
      <c r="C45" s="15" t="s">
        <v>1556</v>
      </c>
      <c r="D45" s="15" t="s">
        <v>1556</v>
      </c>
      <c r="E45" s="314">
        <v>3</v>
      </c>
      <c r="F45" s="15">
        <f t="shared" si="1"/>
        <v>49</v>
      </c>
      <c r="G45" s="205" t="s">
        <v>164</v>
      </c>
      <c r="H45" s="269" t="s">
        <v>163</v>
      </c>
      <c r="I45" s="15">
        <v>1</v>
      </c>
    </row>
    <row r="46" spans="1:9" x14ac:dyDescent="0.3">
      <c r="A46" s="15">
        <v>44</v>
      </c>
      <c r="B46" s="415" t="s">
        <v>165</v>
      </c>
      <c r="C46" s="15" t="s">
        <v>1557</v>
      </c>
      <c r="D46" s="15" t="s">
        <v>1557</v>
      </c>
      <c r="E46" s="314">
        <v>1</v>
      </c>
      <c r="F46" s="15">
        <f t="shared" si="1"/>
        <v>52</v>
      </c>
      <c r="G46" s="204" t="s">
        <v>166</v>
      </c>
      <c r="H46" s="312" t="s">
        <v>642</v>
      </c>
      <c r="I46" s="15">
        <v>0</v>
      </c>
    </row>
    <row r="47" spans="1:9" x14ac:dyDescent="0.3">
      <c r="A47" s="15">
        <v>45</v>
      </c>
      <c r="B47" s="415" t="s">
        <v>167</v>
      </c>
      <c r="C47" s="15" t="s">
        <v>1556</v>
      </c>
      <c r="D47" s="15" t="s">
        <v>1556</v>
      </c>
      <c r="E47" s="314">
        <v>1</v>
      </c>
      <c r="F47" s="15">
        <f t="shared" si="1"/>
        <v>53</v>
      </c>
      <c r="G47" s="204" t="s">
        <v>168</v>
      </c>
      <c r="H47" s="312" t="s">
        <v>651</v>
      </c>
      <c r="I47" s="15">
        <v>1</v>
      </c>
    </row>
    <row r="48" spans="1:9" x14ac:dyDescent="0.3">
      <c r="A48" s="15">
        <v>46</v>
      </c>
      <c r="B48" s="415" t="s">
        <v>169</v>
      </c>
      <c r="C48" s="15" t="s">
        <v>1557</v>
      </c>
      <c r="D48" s="15" t="s">
        <v>1557</v>
      </c>
      <c r="E48" s="314">
        <v>1</v>
      </c>
      <c r="F48" s="15">
        <f t="shared" si="1"/>
        <v>54</v>
      </c>
      <c r="G48" s="204" t="s">
        <v>170</v>
      </c>
      <c r="H48" s="312" t="s">
        <v>639</v>
      </c>
      <c r="I48" s="15">
        <v>0</v>
      </c>
    </row>
    <row r="49" spans="1:9" x14ac:dyDescent="0.3">
      <c r="A49" s="15">
        <v>47</v>
      </c>
      <c r="B49" s="415" t="s">
        <v>673</v>
      </c>
      <c r="C49" s="15" t="s">
        <v>1556</v>
      </c>
      <c r="D49" s="15" t="s">
        <v>1556</v>
      </c>
      <c r="E49" s="314">
        <v>1</v>
      </c>
      <c r="F49" s="15">
        <f t="shared" si="1"/>
        <v>55</v>
      </c>
      <c r="G49" s="204" t="s">
        <v>171</v>
      </c>
      <c r="H49" s="312" t="s">
        <v>637</v>
      </c>
      <c r="I49" s="15">
        <v>1</v>
      </c>
    </row>
    <row r="50" spans="1:9" x14ac:dyDescent="0.3">
      <c r="A50" s="15">
        <v>48</v>
      </c>
      <c r="B50" s="415" t="s">
        <v>173</v>
      </c>
      <c r="C50" s="15" t="s">
        <v>1557</v>
      </c>
      <c r="D50" s="15" t="s">
        <v>1557</v>
      </c>
      <c r="E50" s="314">
        <v>1</v>
      </c>
      <c r="F50" s="15">
        <f t="shared" si="1"/>
        <v>56</v>
      </c>
      <c r="G50" s="204" t="s">
        <v>174</v>
      </c>
      <c r="H50" s="312" t="s">
        <v>172</v>
      </c>
      <c r="I50" s="15">
        <v>0</v>
      </c>
    </row>
    <row r="51" spans="1:9" x14ac:dyDescent="0.3">
      <c r="A51" s="15">
        <v>49</v>
      </c>
      <c r="B51" s="415" t="s">
        <v>176</v>
      </c>
      <c r="C51" s="15" t="s">
        <v>1557</v>
      </c>
      <c r="D51" s="15" t="s">
        <v>1557</v>
      </c>
      <c r="E51" s="314">
        <v>1</v>
      </c>
      <c r="F51" s="15">
        <f t="shared" si="1"/>
        <v>57</v>
      </c>
      <c r="G51" s="204" t="s">
        <v>177</v>
      </c>
      <c r="H51" s="312" t="s">
        <v>172</v>
      </c>
      <c r="I51" s="15">
        <v>0</v>
      </c>
    </row>
    <row r="52" spans="1:9" x14ac:dyDescent="0.3">
      <c r="A52" s="15">
        <v>50</v>
      </c>
      <c r="B52" s="415" t="s">
        <v>178</v>
      </c>
      <c r="C52" s="15" t="s">
        <v>1557</v>
      </c>
      <c r="D52" s="15" t="s">
        <v>1557</v>
      </c>
      <c r="E52" s="314">
        <v>1</v>
      </c>
      <c r="F52" s="15">
        <f t="shared" si="1"/>
        <v>58</v>
      </c>
      <c r="G52" s="204" t="s">
        <v>179</v>
      </c>
      <c r="H52" s="312" t="s">
        <v>172</v>
      </c>
      <c r="I52" s="15">
        <v>0</v>
      </c>
    </row>
    <row r="53" spans="1:9" x14ac:dyDescent="0.3">
      <c r="A53" s="15">
        <v>51</v>
      </c>
      <c r="B53" s="415" t="s">
        <v>180</v>
      </c>
      <c r="C53" s="15" t="s">
        <v>1557</v>
      </c>
      <c r="D53" s="15" t="s">
        <v>1557</v>
      </c>
      <c r="E53" s="314">
        <v>1</v>
      </c>
      <c r="F53" s="15">
        <f t="shared" si="1"/>
        <v>59</v>
      </c>
      <c r="G53" s="204" t="s">
        <v>181</v>
      </c>
      <c r="H53" s="312" t="s">
        <v>638</v>
      </c>
      <c r="I53" s="15">
        <v>0</v>
      </c>
    </row>
    <row r="54" spans="1:9" x14ac:dyDescent="0.3">
      <c r="A54" s="15">
        <v>52</v>
      </c>
      <c r="B54" s="415" t="s">
        <v>182</v>
      </c>
      <c r="C54" s="15" t="s">
        <v>1557</v>
      </c>
      <c r="D54" s="15" t="s">
        <v>1557</v>
      </c>
      <c r="E54" s="314">
        <v>1</v>
      </c>
      <c r="F54" s="15">
        <f t="shared" si="1"/>
        <v>60</v>
      </c>
      <c r="G54" s="204" t="s">
        <v>183</v>
      </c>
      <c r="H54" s="312" t="s">
        <v>635</v>
      </c>
      <c r="I54" s="15">
        <v>0</v>
      </c>
    </row>
    <row r="55" spans="1:9" x14ac:dyDescent="0.3">
      <c r="A55" s="15">
        <v>53</v>
      </c>
      <c r="B55" s="415" t="s">
        <v>184</v>
      </c>
      <c r="C55" s="15" t="s">
        <v>1557</v>
      </c>
      <c r="D55" s="15" t="s">
        <v>1557</v>
      </c>
      <c r="E55" s="314">
        <v>1</v>
      </c>
      <c r="F55" s="15">
        <f t="shared" si="1"/>
        <v>61</v>
      </c>
      <c r="G55" s="204" t="s">
        <v>185</v>
      </c>
      <c r="H55" s="312" t="s">
        <v>644</v>
      </c>
      <c r="I55" s="15">
        <v>0</v>
      </c>
    </row>
    <row r="56" spans="1:9" x14ac:dyDescent="0.3">
      <c r="A56" s="15">
        <v>54</v>
      </c>
      <c r="B56" s="415" t="s">
        <v>187</v>
      </c>
      <c r="C56" s="15" t="s">
        <v>1557</v>
      </c>
      <c r="D56" s="15" t="s">
        <v>1557</v>
      </c>
      <c r="E56" s="314">
        <v>2</v>
      </c>
      <c r="F56" s="15">
        <f t="shared" si="1"/>
        <v>62</v>
      </c>
      <c r="G56" s="204" t="s">
        <v>188</v>
      </c>
      <c r="H56" s="312" t="s">
        <v>186</v>
      </c>
      <c r="I56" s="15">
        <v>0</v>
      </c>
    </row>
    <row r="57" spans="1:9" x14ac:dyDescent="0.3">
      <c r="A57" s="15">
        <v>55</v>
      </c>
      <c r="B57" s="415" t="s">
        <v>189</v>
      </c>
      <c r="C57" s="15" t="s">
        <v>1556</v>
      </c>
      <c r="D57" s="15" t="s">
        <v>1556</v>
      </c>
      <c r="E57" s="314">
        <v>8</v>
      </c>
      <c r="F57" s="15">
        <f t="shared" si="1"/>
        <v>64</v>
      </c>
      <c r="G57" s="205" t="s">
        <v>190</v>
      </c>
      <c r="H57" s="312" t="s">
        <v>613</v>
      </c>
    </row>
    <row r="58" spans="1:9" x14ac:dyDescent="0.3">
      <c r="A58" s="15">
        <v>56</v>
      </c>
      <c r="B58" s="415" t="s">
        <v>192</v>
      </c>
      <c r="C58" s="15" t="s">
        <v>1556</v>
      </c>
      <c r="D58" s="15" t="s">
        <v>1556</v>
      </c>
      <c r="E58" s="314">
        <v>15</v>
      </c>
      <c r="F58" s="15">
        <f t="shared" si="1"/>
        <v>72</v>
      </c>
      <c r="G58" s="205" t="s">
        <v>193</v>
      </c>
      <c r="H58" s="312" t="s">
        <v>394</v>
      </c>
    </row>
    <row r="59" spans="1:9" x14ac:dyDescent="0.3">
      <c r="A59" s="15">
        <v>57</v>
      </c>
      <c r="B59" s="415" t="s">
        <v>194</v>
      </c>
      <c r="C59" s="15" t="s">
        <v>1557</v>
      </c>
      <c r="D59" s="15" t="s">
        <v>1557</v>
      </c>
      <c r="E59" s="314">
        <v>1</v>
      </c>
      <c r="F59" s="15">
        <f t="shared" si="1"/>
        <v>87</v>
      </c>
      <c r="G59" s="204" t="s">
        <v>195</v>
      </c>
      <c r="H59" s="312" t="s">
        <v>646</v>
      </c>
      <c r="I59" s="15">
        <v>0</v>
      </c>
    </row>
    <row r="60" spans="1:9" x14ac:dyDescent="0.3">
      <c r="A60" s="15">
        <v>58</v>
      </c>
      <c r="B60" s="415" t="s">
        <v>196</v>
      </c>
      <c r="C60" s="15" t="s">
        <v>1557</v>
      </c>
      <c r="D60" s="15" t="s">
        <v>1557</v>
      </c>
      <c r="E60" s="314">
        <v>1</v>
      </c>
      <c r="F60" s="15">
        <f t="shared" si="1"/>
        <v>88</v>
      </c>
      <c r="G60" s="204" t="s">
        <v>197</v>
      </c>
      <c r="H60" s="312" t="s">
        <v>650</v>
      </c>
      <c r="I60" s="15">
        <v>0</v>
      </c>
    </row>
    <row r="61" spans="1:9" x14ac:dyDescent="0.3">
      <c r="A61" s="15">
        <v>59</v>
      </c>
      <c r="B61" s="415" t="s">
        <v>237</v>
      </c>
      <c r="C61" s="15" t="s">
        <v>1556</v>
      </c>
      <c r="D61" s="15" t="s">
        <v>1556</v>
      </c>
      <c r="E61" s="314">
        <v>1</v>
      </c>
      <c r="F61" s="15">
        <f t="shared" si="1"/>
        <v>89</v>
      </c>
      <c r="G61" s="204" t="s">
        <v>198</v>
      </c>
      <c r="H61" s="312" t="s">
        <v>536</v>
      </c>
      <c r="I61" s="15">
        <v>1</v>
      </c>
    </row>
    <row r="62" spans="1:9" x14ac:dyDescent="0.3">
      <c r="A62" s="15">
        <v>60</v>
      </c>
      <c r="B62" s="415" t="s">
        <v>199</v>
      </c>
      <c r="C62" s="15" t="s">
        <v>1556</v>
      </c>
      <c r="D62" s="15" t="s">
        <v>1556</v>
      </c>
      <c r="E62" s="314">
        <v>3</v>
      </c>
      <c r="F62" s="15">
        <f t="shared" si="1"/>
        <v>90</v>
      </c>
      <c r="G62" s="205" t="s">
        <v>200</v>
      </c>
      <c r="H62" s="269" t="s">
        <v>199</v>
      </c>
      <c r="I62" s="15">
        <v>1</v>
      </c>
    </row>
    <row r="63" spans="1:9" x14ac:dyDescent="0.3">
      <c r="A63" s="15">
        <v>61</v>
      </c>
      <c r="B63" s="415" t="s">
        <v>1301</v>
      </c>
      <c r="C63" s="15" t="s">
        <v>1558</v>
      </c>
      <c r="D63" s="15" t="s">
        <v>1558</v>
      </c>
      <c r="E63" s="314">
        <v>1</v>
      </c>
      <c r="F63" s="15">
        <f t="shared" si="1"/>
        <v>93</v>
      </c>
      <c r="G63" s="204" t="s">
        <v>1133</v>
      </c>
      <c r="H63" s="312" t="s">
        <v>48</v>
      </c>
      <c r="I63" s="15">
        <v>0</v>
      </c>
    </row>
    <row r="64" spans="1:9" x14ac:dyDescent="0.3">
      <c r="A64" s="15">
        <v>62</v>
      </c>
      <c r="B64" s="415" t="s">
        <v>1301</v>
      </c>
      <c r="E64" s="314">
        <v>1</v>
      </c>
      <c r="F64" s="15">
        <f t="shared" si="1"/>
        <v>94</v>
      </c>
      <c r="G64" s="204" t="s">
        <v>1137</v>
      </c>
      <c r="H64" s="312" t="s">
        <v>48</v>
      </c>
      <c r="I64" s="15">
        <v>0</v>
      </c>
    </row>
    <row r="65" spans="1:9" x14ac:dyDescent="0.3">
      <c r="A65" s="15">
        <v>63</v>
      </c>
      <c r="B65" s="415" t="s">
        <v>1301</v>
      </c>
      <c r="E65" s="314">
        <v>1</v>
      </c>
      <c r="F65" s="15">
        <f t="shared" si="1"/>
        <v>95</v>
      </c>
      <c r="G65" s="204" t="s">
        <v>1138</v>
      </c>
      <c r="H65" s="312" t="s">
        <v>48</v>
      </c>
      <c r="I65" s="15">
        <v>0</v>
      </c>
    </row>
    <row r="66" spans="1:9" x14ac:dyDescent="0.3">
      <c r="A66" s="15">
        <v>64</v>
      </c>
      <c r="B66" s="415" t="s">
        <v>201</v>
      </c>
      <c r="C66" s="15" t="s">
        <v>1556</v>
      </c>
      <c r="D66" s="15" t="s">
        <v>1556</v>
      </c>
      <c r="E66" s="314">
        <v>4</v>
      </c>
      <c r="F66" s="15">
        <f t="shared" si="1"/>
        <v>96</v>
      </c>
      <c r="G66" s="205" t="s">
        <v>202</v>
      </c>
      <c r="H66" s="269" t="s">
        <v>201</v>
      </c>
      <c r="I66" s="15">
        <v>1</v>
      </c>
    </row>
    <row r="67" spans="1:9" x14ac:dyDescent="0.3">
      <c r="A67" s="15">
        <v>65</v>
      </c>
      <c r="B67" s="415" t="s">
        <v>203</v>
      </c>
      <c r="C67" s="15" t="s">
        <v>1556</v>
      </c>
      <c r="D67" s="15" t="s">
        <v>1556</v>
      </c>
      <c r="E67" s="314">
        <v>4</v>
      </c>
      <c r="F67" s="15">
        <f t="shared" ref="F67:F89" si="2">E66+F66</f>
        <v>100</v>
      </c>
      <c r="G67" s="205" t="s">
        <v>204</v>
      </c>
      <c r="H67" s="269" t="s">
        <v>203</v>
      </c>
      <c r="I67" s="15">
        <v>1</v>
      </c>
    </row>
    <row r="68" spans="1:9" x14ac:dyDescent="0.3">
      <c r="A68" s="15">
        <v>66</v>
      </c>
      <c r="B68" s="418" t="s">
        <v>1130</v>
      </c>
      <c r="C68" s="15" t="s">
        <v>1557</v>
      </c>
      <c r="D68" s="15" t="s">
        <v>1557</v>
      </c>
      <c r="E68" s="314">
        <v>1</v>
      </c>
      <c r="F68" s="15">
        <f t="shared" si="2"/>
        <v>104</v>
      </c>
      <c r="G68" s="204" t="s">
        <v>206</v>
      </c>
      <c r="H68" s="312" t="s">
        <v>613</v>
      </c>
    </row>
    <row r="69" spans="1:9" x14ac:dyDescent="0.3">
      <c r="A69" s="15">
        <v>67</v>
      </c>
      <c r="B69" s="418" t="s">
        <v>1131</v>
      </c>
      <c r="C69" s="15" t="s">
        <v>1557</v>
      </c>
      <c r="D69" s="15" t="s">
        <v>1557</v>
      </c>
      <c r="E69" s="314">
        <v>1</v>
      </c>
      <c r="F69" s="15">
        <f t="shared" si="2"/>
        <v>105</v>
      </c>
      <c r="G69" s="204" t="s">
        <v>207</v>
      </c>
      <c r="H69" s="312" t="s">
        <v>613</v>
      </c>
    </row>
    <row r="70" spans="1:9" x14ac:dyDescent="0.3">
      <c r="A70" s="15">
        <v>68</v>
      </c>
      <c r="B70" s="418" t="s">
        <v>1132</v>
      </c>
      <c r="C70" s="15" t="s">
        <v>1557</v>
      </c>
      <c r="D70" s="15" t="s">
        <v>1557</v>
      </c>
      <c r="E70" s="314">
        <v>1</v>
      </c>
      <c r="F70" s="15">
        <f t="shared" si="2"/>
        <v>106</v>
      </c>
      <c r="G70" s="204" t="s">
        <v>208</v>
      </c>
      <c r="H70" s="312" t="s">
        <v>613</v>
      </c>
    </row>
    <row r="71" spans="1:9" x14ac:dyDescent="0.3">
      <c r="A71" s="15">
        <v>69</v>
      </c>
      <c r="B71" s="415" t="s">
        <v>209</v>
      </c>
      <c r="C71" s="15" t="s">
        <v>1556</v>
      </c>
      <c r="D71" s="15" t="s">
        <v>1556</v>
      </c>
      <c r="E71" s="314">
        <v>1</v>
      </c>
      <c r="F71" s="15">
        <f t="shared" si="2"/>
        <v>107</v>
      </c>
      <c r="G71" s="205" t="s">
        <v>210</v>
      </c>
      <c r="H71" s="312" t="s">
        <v>613</v>
      </c>
    </row>
    <row r="72" spans="1:9" x14ac:dyDescent="0.3">
      <c r="A72" s="15">
        <v>70</v>
      </c>
      <c r="B72" s="415" t="s">
        <v>211</v>
      </c>
      <c r="C72" s="15" t="s">
        <v>1556</v>
      </c>
      <c r="D72" s="15" t="s">
        <v>1556</v>
      </c>
      <c r="E72" s="314">
        <v>1</v>
      </c>
      <c r="F72" s="15">
        <f t="shared" si="2"/>
        <v>108</v>
      </c>
      <c r="G72" s="205" t="s">
        <v>212</v>
      </c>
      <c r="H72" s="312" t="s">
        <v>613</v>
      </c>
    </row>
    <row r="73" spans="1:9" x14ac:dyDescent="0.3">
      <c r="A73" s="15">
        <v>71</v>
      </c>
      <c r="B73" s="415" t="s">
        <v>1301</v>
      </c>
      <c r="C73" s="15" t="s">
        <v>1558</v>
      </c>
      <c r="D73" s="15" t="s">
        <v>1558</v>
      </c>
      <c r="E73" s="314">
        <v>1</v>
      </c>
      <c r="F73" s="15">
        <f t="shared" si="2"/>
        <v>109</v>
      </c>
      <c r="G73" s="204" t="s">
        <v>213</v>
      </c>
      <c r="H73" s="312" t="s">
        <v>48</v>
      </c>
      <c r="I73" s="15">
        <v>0</v>
      </c>
    </row>
    <row r="74" spans="1:9" x14ac:dyDescent="0.3">
      <c r="A74" s="15">
        <v>72</v>
      </c>
      <c r="B74" s="415" t="s">
        <v>215</v>
      </c>
      <c r="C74" s="15" t="s">
        <v>1557</v>
      </c>
      <c r="D74" s="15" t="s">
        <v>1557</v>
      </c>
      <c r="E74" s="314">
        <v>1</v>
      </c>
      <c r="F74" s="15">
        <f t="shared" si="2"/>
        <v>110</v>
      </c>
      <c r="G74" s="204" t="s">
        <v>216</v>
      </c>
      <c r="H74" s="312" t="s">
        <v>214</v>
      </c>
      <c r="I74" s="15">
        <v>0</v>
      </c>
    </row>
    <row r="75" spans="1:9" x14ac:dyDescent="0.3">
      <c r="A75" s="15">
        <v>73</v>
      </c>
      <c r="B75" s="415" t="s">
        <v>217</v>
      </c>
      <c r="C75" s="15" t="s">
        <v>1557</v>
      </c>
      <c r="D75" s="15" t="s">
        <v>1557</v>
      </c>
      <c r="E75" s="314">
        <v>1</v>
      </c>
      <c r="F75" s="15">
        <f t="shared" si="2"/>
        <v>111</v>
      </c>
      <c r="G75" s="204" t="s">
        <v>218</v>
      </c>
      <c r="H75" s="312" t="s">
        <v>214</v>
      </c>
      <c r="I75" s="15">
        <v>0</v>
      </c>
    </row>
    <row r="76" spans="1:9" x14ac:dyDescent="0.3">
      <c r="A76" s="15">
        <v>74</v>
      </c>
      <c r="B76" s="415" t="s">
        <v>219</v>
      </c>
      <c r="C76" s="15" t="s">
        <v>1556</v>
      </c>
      <c r="D76" s="15" t="s">
        <v>1556</v>
      </c>
      <c r="E76" s="314">
        <v>1</v>
      </c>
      <c r="F76" s="15">
        <f t="shared" si="2"/>
        <v>112</v>
      </c>
      <c r="G76" s="205" t="s">
        <v>220</v>
      </c>
      <c r="H76" s="312" t="s">
        <v>613</v>
      </c>
    </row>
    <row r="77" spans="1:9" x14ac:dyDescent="0.3">
      <c r="A77" s="15">
        <v>75</v>
      </c>
      <c r="B77" s="415" t="s">
        <v>222</v>
      </c>
      <c r="C77" s="15" t="s">
        <v>1557</v>
      </c>
      <c r="D77" s="15" t="s">
        <v>1557</v>
      </c>
      <c r="E77" s="314">
        <v>7</v>
      </c>
      <c r="F77" s="15">
        <f t="shared" si="2"/>
        <v>113</v>
      </c>
      <c r="G77" s="204" t="s">
        <v>223</v>
      </c>
      <c r="H77" s="312" t="s">
        <v>221</v>
      </c>
      <c r="I77" s="15">
        <v>0</v>
      </c>
    </row>
    <row r="78" spans="1:9" ht="28.8" x14ac:dyDescent="0.3">
      <c r="A78" s="15">
        <v>76</v>
      </c>
      <c r="B78" s="415" t="s">
        <v>225</v>
      </c>
      <c r="C78" s="15" t="s">
        <v>1557</v>
      </c>
      <c r="D78" s="15" t="s">
        <v>1557</v>
      </c>
      <c r="E78" s="314">
        <v>1</v>
      </c>
      <c r="F78" s="15">
        <f t="shared" si="2"/>
        <v>120</v>
      </c>
      <c r="G78" s="204" t="s">
        <v>226</v>
      </c>
      <c r="H78" s="312" t="s">
        <v>224</v>
      </c>
      <c r="I78" s="15">
        <v>0</v>
      </c>
    </row>
    <row r="79" spans="1:9" x14ac:dyDescent="0.3">
      <c r="A79" s="15">
        <v>77</v>
      </c>
      <c r="B79" s="415" t="s">
        <v>674</v>
      </c>
      <c r="C79" s="15" t="s">
        <v>1556</v>
      </c>
      <c r="D79" s="15" t="s">
        <v>1556</v>
      </c>
      <c r="E79" s="314">
        <v>1</v>
      </c>
      <c r="F79" s="15">
        <f t="shared" si="2"/>
        <v>121</v>
      </c>
      <c r="G79" s="205" t="s">
        <v>227</v>
      </c>
      <c r="H79" s="312" t="s">
        <v>613</v>
      </c>
    </row>
    <row r="80" spans="1:9" x14ac:dyDescent="0.3">
      <c r="A80" s="15">
        <v>78</v>
      </c>
      <c r="B80" s="415" t="s">
        <v>228</v>
      </c>
      <c r="C80" s="15" t="s">
        <v>1557</v>
      </c>
      <c r="D80" s="15" t="s">
        <v>1557</v>
      </c>
      <c r="E80" s="314">
        <v>1</v>
      </c>
      <c r="F80" s="15">
        <f t="shared" si="2"/>
        <v>122</v>
      </c>
      <c r="G80" s="204" t="s">
        <v>229</v>
      </c>
      <c r="H80" s="312" t="s">
        <v>100</v>
      </c>
      <c r="I80" s="15">
        <v>0</v>
      </c>
    </row>
    <row r="81" spans="1:9" x14ac:dyDescent="0.3">
      <c r="A81" s="15">
        <v>79</v>
      </c>
      <c r="B81" s="415" t="s">
        <v>230</v>
      </c>
      <c r="C81" s="15" t="s">
        <v>1557</v>
      </c>
      <c r="D81" s="15" t="s">
        <v>1557</v>
      </c>
      <c r="E81" s="314">
        <v>1</v>
      </c>
      <c r="F81" s="15">
        <f t="shared" si="2"/>
        <v>123</v>
      </c>
      <c r="G81" s="204" t="s">
        <v>231</v>
      </c>
      <c r="H81" s="312" t="s">
        <v>100</v>
      </c>
      <c r="I81" s="15">
        <v>0</v>
      </c>
    </row>
    <row r="82" spans="1:9" x14ac:dyDescent="0.3">
      <c r="A82" s="15">
        <v>80</v>
      </c>
      <c r="B82" s="415" t="s">
        <v>232</v>
      </c>
      <c r="C82" s="15" t="s">
        <v>1557</v>
      </c>
      <c r="D82" s="15" t="s">
        <v>1557</v>
      </c>
      <c r="E82" s="314">
        <v>1</v>
      </c>
      <c r="F82" s="15">
        <f t="shared" si="2"/>
        <v>124</v>
      </c>
      <c r="G82" s="204" t="s">
        <v>233</v>
      </c>
      <c r="H82" s="312" t="s">
        <v>100</v>
      </c>
      <c r="I82" s="15">
        <v>0</v>
      </c>
    </row>
    <row r="83" spans="1:9" x14ac:dyDescent="0.3">
      <c r="A83" s="15">
        <v>81</v>
      </c>
      <c r="B83" s="415" t="s">
        <v>235</v>
      </c>
      <c r="C83" s="15" t="s">
        <v>1557</v>
      </c>
      <c r="D83" s="15" t="s">
        <v>1557</v>
      </c>
      <c r="E83" s="314">
        <v>1</v>
      </c>
      <c r="F83" s="15">
        <f t="shared" si="2"/>
        <v>125</v>
      </c>
      <c r="G83" s="207" t="s">
        <v>236</v>
      </c>
      <c r="H83" s="312" t="s">
        <v>234</v>
      </c>
      <c r="I83" s="15">
        <v>0</v>
      </c>
    </row>
    <row r="84" spans="1:9" x14ac:dyDescent="0.3">
      <c r="A84" s="15">
        <v>82</v>
      </c>
      <c r="B84" s="418" t="s">
        <v>1107</v>
      </c>
      <c r="C84" s="15" t="s">
        <v>1557</v>
      </c>
      <c r="D84" s="15" t="s">
        <v>1556</v>
      </c>
      <c r="E84" s="314">
        <v>1</v>
      </c>
      <c r="F84" s="15">
        <f t="shared" si="2"/>
        <v>126</v>
      </c>
      <c r="G84" s="207" t="s">
        <v>888</v>
      </c>
      <c r="H84" s="312" t="s">
        <v>48</v>
      </c>
      <c r="I84" s="15">
        <v>0</v>
      </c>
    </row>
    <row r="85" spans="1:9" x14ac:dyDescent="0.3">
      <c r="A85" s="15">
        <v>83</v>
      </c>
      <c r="B85" s="415" t="s">
        <v>1301</v>
      </c>
      <c r="E85" s="314">
        <v>1</v>
      </c>
      <c r="F85" s="15">
        <f t="shared" si="2"/>
        <v>127</v>
      </c>
      <c r="G85" s="207" t="s">
        <v>889</v>
      </c>
      <c r="H85" s="312" t="s">
        <v>48</v>
      </c>
      <c r="I85" s="15">
        <v>0</v>
      </c>
    </row>
    <row r="86" spans="1:9" x14ac:dyDescent="0.3">
      <c r="A86" s="15">
        <v>84</v>
      </c>
      <c r="B86" s="418" t="s">
        <v>238</v>
      </c>
      <c r="C86" s="15" t="s">
        <v>1556</v>
      </c>
      <c r="D86" s="15" t="s">
        <v>1556</v>
      </c>
      <c r="E86" s="314">
        <v>1</v>
      </c>
      <c r="F86" s="15">
        <f t="shared" si="2"/>
        <v>128</v>
      </c>
      <c r="G86" s="205" t="s">
        <v>239</v>
      </c>
      <c r="H86" s="269" t="s">
        <v>613</v>
      </c>
    </row>
    <row r="87" spans="1:9" ht="28.8" x14ac:dyDescent="0.3">
      <c r="A87" s="15">
        <v>85</v>
      </c>
      <c r="B87" s="418" t="s">
        <v>1550</v>
      </c>
      <c r="C87" s="15" t="s">
        <v>1559</v>
      </c>
      <c r="D87" s="15" t="s">
        <v>1563</v>
      </c>
      <c r="E87" s="314">
        <v>1</v>
      </c>
      <c r="F87" s="15">
        <f t="shared" si="2"/>
        <v>129</v>
      </c>
      <c r="G87" s="205" t="s">
        <v>240</v>
      </c>
      <c r="H87" s="312" t="s">
        <v>613</v>
      </c>
    </row>
    <row r="88" spans="1:9" x14ac:dyDescent="0.3">
      <c r="A88" s="15">
        <v>86</v>
      </c>
      <c r="B88" s="415" t="s">
        <v>242</v>
      </c>
      <c r="C88" s="15" t="s">
        <v>1557</v>
      </c>
      <c r="D88" s="15" t="s">
        <v>1557</v>
      </c>
      <c r="E88" s="314">
        <v>5</v>
      </c>
      <c r="F88" s="15">
        <f t="shared" si="2"/>
        <v>130</v>
      </c>
      <c r="G88" s="204" t="s">
        <v>243</v>
      </c>
      <c r="H88" s="312" t="s">
        <v>241</v>
      </c>
      <c r="I88" s="15">
        <v>0</v>
      </c>
    </row>
    <row r="89" spans="1:9" x14ac:dyDescent="0.3">
      <c r="A89" s="15">
        <v>87</v>
      </c>
      <c r="B89" s="418" t="s">
        <v>244</v>
      </c>
      <c r="C89" s="15" t="s">
        <v>1560</v>
      </c>
      <c r="D89" s="15" t="s">
        <v>1557</v>
      </c>
      <c r="E89" s="314">
        <v>1</v>
      </c>
      <c r="F89" s="15">
        <f t="shared" si="2"/>
        <v>135</v>
      </c>
      <c r="G89" s="205" t="s">
        <v>245</v>
      </c>
      <c r="H89" s="269" t="s">
        <v>613</v>
      </c>
    </row>
  </sheetData>
  <autoFilter ref="A1:I89" xr:uid="{DA93781B-1584-4F64-98C0-7BBE47DF3704}">
    <sortState xmlns:xlrd2="http://schemas.microsoft.com/office/spreadsheetml/2017/richdata2" ref="A2:I89">
      <sortCondition ref="A1:A89"/>
    </sortState>
  </autoFilter>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22" t="s">
        <v>634</v>
      </c>
      <c r="D2" s="423"/>
      <c r="E2" s="424" t="s">
        <v>392</v>
      </c>
      <c r="F2" s="425"/>
      <c r="G2" s="426"/>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6" priority="10" operator="equal">
      <formula>0</formula>
    </cfRule>
  </conditionalFormatting>
  <conditionalFormatting sqref="A57">
    <cfRule type="cellIs" dxfId="555" priority="9" operator="equal">
      <formula>0</formula>
    </cfRule>
  </conditionalFormatting>
  <conditionalFormatting sqref="A58">
    <cfRule type="cellIs" dxfId="554" priority="8" operator="equal">
      <formula>0</formula>
    </cfRule>
  </conditionalFormatting>
  <conditionalFormatting sqref="A60">
    <cfRule type="cellIs" dxfId="553" priority="7" operator="equal">
      <formula>0</formula>
    </cfRule>
  </conditionalFormatting>
  <conditionalFormatting sqref="A62 A67">
    <cfRule type="cellIs" priority="6" operator="equal">
      <formula>0</formula>
    </cfRule>
  </conditionalFormatting>
  <conditionalFormatting sqref="A63">
    <cfRule type="cellIs" dxfId="552" priority="5" operator="equal">
      <formula>0</formula>
    </cfRule>
  </conditionalFormatting>
  <conditionalFormatting sqref="A64">
    <cfRule type="cellIs" dxfId="551" priority="3" operator="equal">
      <formula>0</formula>
    </cfRule>
    <cfRule type="cellIs" dxfId="550" priority="4" operator="equal">
      <formula>0</formula>
    </cfRule>
  </conditionalFormatting>
  <conditionalFormatting sqref="A59">
    <cfRule type="cellIs" dxfId="549" priority="2" operator="equal">
      <formula>0</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4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31" t="s">
        <v>14</v>
      </c>
      <c r="O3" s="434">
        <f ca="1">($G3+$G4+$G5+$G6+$G7)</f>
        <v>1056</v>
      </c>
    </row>
    <row r="4" spans="1:15" ht="15" customHeight="1" x14ac:dyDescent="0.3">
      <c r="A4" s="44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5"/>
    </row>
    <row r="5" spans="1:15" ht="15" customHeight="1" x14ac:dyDescent="0.3">
      <c r="A5" s="44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5"/>
    </row>
    <row r="6" spans="1:15" ht="15" customHeight="1" x14ac:dyDescent="0.3">
      <c r="A6" s="44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5"/>
    </row>
    <row r="7" spans="1:15" ht="15" customHeight="1" thickBot="1" x14ac:dyDescent="0.35">
      <c r="A7" s="44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6"/>
    </row>
    <row r="8" spans="1:15" ht="14.55" customHeight="1" x14ac:dyDescent="0.3">
      <c r="A8" s="45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3" t="s">
        <v>368</v>
      </c>
      <c r="N8" s="446" t="s">
        <v>20</v>
      </c>
      <c r="O8" s="448">
        <f ca="1">($G8+$G9+$G10+$G13)</f>
        <v>960</v>
      </c>
    </row>
    <row r="9" spans="1:15" ht="14.55" customHeight="1" x14ac:dyDescent="0.3">
      <c r="A9" s="45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4"/>
      <c r="N9" s="432"/>
      <c r="O9" s="435"/>
    </row>
    <row r="10" spans="1:15" ht="15" customHeight="1" x14ac:dyDescent="0.3">
      <c r="A10" s="45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4"/>
      <c r="N10" s="432"/>
      <c r="O10" s="435"/>
    </row>
    <row r="11" spans="1:15" ht="15" customHeight="1" x14ac:dyDescent="0.3">
      <c r="A11" s="45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15" customHeight="1" x14ac:dyDescent="0.3">
      <c r="A12" s="45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5"/>
      <c r="N12" s="447"/>
      <c r="O12" s="449"/>
    </row>
    <row r="13" spans="1:15" ht="15" customHeight="1" thickBot="1" x14ac:dyDescent="0.35">
      <c r="A13" s="45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5"/>
      <c r="N13" s="447"/>
      <c r="O13" s="449"/>
    </row>
    <row r="14" spans="1:15" ht="15" customHeight="1" x14ac:dyDescent="0.3">
      <c r="A14" s="438" t="s">
        <v>23</v>
      </c>
      <c r="B14" s="34" t="s">
        <v>24</v>
      </c>
      <c r="C14" s="36" t="s">
        <v>613</v>
      </c>
      <c r="D14" s="42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40" t="s">
        <v>369</v>
      </c>
      <c r="N14" s="431" t="s">
        <v>29</v>
      </c>
      <c r="O14" s="434">
        <f ca="1">(4*32+G18+G19+G20+G21+G22+G23)</f>
        <v>160</v>
      </c>
    </row>
    <row r="15" spans="1:15" ht="15" customHeight="1" x14ac:dyDescent="0.3">
      <c r="A15" s="439"/>
      <c r="B15" s="35" t="s">
        <v>30</v>
      </c>
      <c r="C15" s="37" t="s">
        <v>613</v>
      </c>
      <c r="D15" s="42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37"/>
      <c r="N15" s="432"/>
      <c r="O15" s="435"/>
    </row>
    <row r="16" spans="1:15" ht="15" customHeight="1" x14ac:dyDescent="0.3">
      <c r="A16" s="439"/>
      <c r="B16" s="35" t="s">
        <v>31</v>
      </c>
      <c r="C16" s="37" t="s">
        <v>613</v>
      </c>
      <c r="D16" s="42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37"/>
      <c r="N16" s="432"/>
      <c r="O16" s="435"/>
    </row>
    <row r="17" spans="1:15" x14ac:dyDescent="0.3">
      <c r="A17" s="439"/>
      <c r="B17" s="35" t="s">
        <v>32</v>
      </c>
      <c r="C17" s="37" t="s">
        <v>613</v>
      </c>
      <c r="D17" s="42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37"/>
      <c r="N17" s="432"/>
      <c r="O17" s="435"/>
    </row>
    <row r="18" spans="1:15" x14ac:dyDescent="0.3">
      <c r="A18" s="439"/>
      <c r="B18" s="35" t="s">
        <v>34</v>
      </c>
      <c r="C18" s="35" t="s">
        <v>253</v>
      </c>
      <c r="D18" s="42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7"/>
      <c r="N18" s="432"/>
      <c r="O18" s="435"/>
    </row>
    <row r="19" spans="1:15" x14ac:dyDescent="0.3">
      <c r="A19" s="439"/>
      <c r="B19" s="35" t="s">
        <v>36</v>
      </c>
      <c r="C19" s="73" t="s">
        <v>214</v>
      </c>
      <c r="D19" s="42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7"/>
      <c r="N19" s="432"/>
      <c r="O19" s="435"/>
    </row>
    <row r="20" spans="1:15" x14ac:dyDescent="0.3">
      <c r="A20" s="439"/>
      <c r="B20" s="73" t="s">
        <v>246</v>
      </c>
      <c r="C20" s="73" t="s">
        <v>205</v>
      </c>
      <c r="D20" s="42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7"/>
      <c r="N20" s="432"/>
      <c r="O20" s="435"/>
    </row>
    <row r="21" spans="1:15" x14ac:dyDescent="0.3">
      <c r="A21" s="439"/>
      <c r="B21" s="73" t="s">
        <v>250</v>
      </c>
      <c r="C21" s="73" t="s">
        <v>390</v>
      </c>
      <c r="D21" s="42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37"/>
      <c r="N21" s="432"/>
      <c r="O21" s="435"/>
    </row>
    <row r="22" spans="1:15" x14ac:dyDescent="0.3">
      <c r="A22" s="439"/>
      <c r="B22" s="73" t="s">
        <v>251</v>
      </c>
      <c r="C22" s="73" t="s">
        <v>390</v>
      </c>
      <c r="D22" s="42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37"/>
      <c r="N22" s="432"/>
      <c r="O22" s="435"/>
    </row>
    <row r="23" spans="1:15" x14ac:dyDescent="0.3">
      <c r="A23" s="439"/>
      <c r="B23" s="73" t="s">
        <v>252</v>
      </c>
      <c r="C23" s="73" t="s">
        <v>390</v>
      </c>
      <c r="D23" s="42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37"/>
      <c r="N23" s="432"/>
      <c r="O23" s="435"/>
    </row>
    <row r="24" spans="1:15" x14ac:dyDescent="0.3">
      <c r="A24" s="439"/>
      <c r="B24" s="35" t="s">
        <v>38</v>
      </c>
      <c r="C24" s="37" t="s">
        <v>613</v>
      </c>
      <c r="D24" s="42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37"/>
      <c r="N24" s="432"/>
      <c r="O24" s="435"/>
    </row>
    <row r="25" spans="1:15" x14ac:dyDescent="0.3">
      <c r="A25" s="438" t="s">
        <v>41</v>
      </c>
      <c r="B25" s="35" t="s">
        <v>42</v>
      </c>
      <c r="C25" s="35" t="s">
        <v>614</v>
      </c>
      <c r="D25" s="42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37" t="s">
        <v>370</v>
      </c>
      <c r="N25" s="432"/>
      <c r="O25" s="435">
        <f ca="1">(G25+G26)</f>
        <v>64</v>
      </c>
    </row>
    <row r="26" spans="1:15" ht="15" thickBot="1" x14ac:dyDescent="0.35">
      <c r="A26" s="441"/>
      <c r="B26" s="74" t="s">
        <v>46</v>
      </c>
      <c r="C26" s="74" t="s">
        <v>615</v>
      </c>
      <c r="D26" s="430"/>
      <c r="E26" s="123"/>
      <c r="F26" s="76" t="s">
        <v>44</v>
      </c>
      <c r="G26" s="75">
        <f ca="1">IF($C26="No Param",32,VLOOKUP($C26,INDIRECT(Config!$B$1),HLOOKUP(D$1,INDIRECT(Config!$E$1),2,FALSE),FALSE)*32)</f>
        <v>32</v>
      </c>
      <c r="H26" s="26" t="str">
        <f ca="1">IF(G26=0,"N/A","0x8004")</f>
        <v>0x8004</v>
      </c>
      <c r="I26" s="26" t="s">
        <v>47</v>
      </c>
      <c r="J26" s="200" t="s">
        <v>48</v>
      </c>
      <c r="K26" s="200" t="s">
        <v>387</v>
      </c>
      <c r="L26" s="234"/>
      <c r="M26" s="433"/>
      <c r="N26" s="433"/>
      <c r="O26" s="436"/>
    </row>
    <row r="27" spans="1:15" ht="15" thickBot="1" x14ac:dyDescent="0.35">
      <c r="A27" s="104"/>
    </row>
    <row r="28" spans="1:15" x14ac:dyDescent="0.3">
      <c r="A28" s="42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1" t="s">
        <v>48</v>
      </c>
      <c r="O28" s="434">
        <f ca="1">SUM(G28:G42)</f>
        <v>576</v>
      </c>
    </row>
    <row r="29" spans="1:15" ht="15" customHeight="1" x14ac:dyDescent="0.3">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3">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3">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3">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3">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3">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3">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3">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3">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3">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3">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3">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3">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 thickBot="1" x14ac:dyDescent="0.35">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8" priority="297" operator="equal">
      <formula>0</formula>
    </cfRule>
  </conditionalFormatting>
  <conditionalFormatting sqref="G34">
    <cfRule type="cellIs" dxfId="547" priority="296" operator="equal">
      <formula>0</formula>
    </cfRule>
  </conditionalFormatting>
  <conditionalFormatting sqref="G36">
    <cfRule type="cellIs" dxfId="546" priority="295" operator="equal">
      <formula>0</formula>
    </cfRule>
  </conditionalFormatting>
  <conditionalFormatting sqref="G14:G26">
    <cfRule type="cellIs" dxfId="545" priority="294" operator="equal">
      <formula>0</formula>
    </cfRule>
  </conditionalFormatting>
  <conditionalFormatting sqref="G29">
    <cfRule type="cellIs" dxfId="544" priority="267" operator="equal">
      <formula>0</formula>
    </cfRule>
  </conditionalFormatting>
  <conditionalFormatting sqref="G32">
    <cfRule type="cellIs" dxfId="543" priority="273" operator="equal">
      <formula>0</formula>
    </cfRule>
  </conditionalFormatting>
  <conditionalFormatting sqref="G33">
    <cfRule type="cellIs" dxfId="542" priority="272" operator="equal">
      <formula>0</formula>
    </cfRule>
  </conditionalFormatting>
  <conditionalFormatting sqref="G28">
    <cfRule type="cellIs" dxfId="541" priority="274" operator="equal">
      <formula>0</formula>
    </cfRule>
  </conditionalFormatting>
  <conditionalFormatting sqref="G38">
    <cfRule type="cellIs" dxfId="540" priority="270" operator="equal">
      <formula>0</formula>
    </cfRule>
  </conditionalFormatting>
  <conditionalFormatting sqref="G35">
    <cfRule type="cellIs" dxfId="539" priority="268" operator="equal">
      <formula>0</formula>
    </cfRule>
  </conditionalFormatting>
  <conditionalFormatting sqref="G31">
    <cfRule type="cellIs" dxfId="538" priority="266" operator="equal">
      <formula>0</formula>
    </cfRule>
  </conditionalFormatting>
  <conditionalFormatting sqref="G30">
    <cfRule type="cellIs" dxfId="537" priority="265" operator="equal">
      <formula>0</formula>
    </cfRule>
  </conditionalFormatting>
  <conditionalFormatting sqref="G39">
    <cfRule type="cellIs" dxfId="536" priority="264" operator="equal">
      <formula>0</formula>
    </cfRule>
  </conditionalFormatting>
  <conditionalFormatting sqref="G41">
    <cfRule type="cellIs" dxfId="535" priority="263" operator="equal">
      <formula>0</formula>
    </cfRule>
  </conditionalFormatting>
  <conditionalFormatting sqref="G40">
    <cfRule type="cellIs" dxfId="534" priority="262" operator="equal">
      <formula>0</formula>
    </cfRule>
  </conditionalFormatting>
  <conditionalFormatting sqref="L32">
    <cfRule type="cellIs" dxfId="533" priority="234" operator="equal">
      <formula>0</formula>
    </cfRule>
  </conditionalFormatting>
  <conditionalFormatting sqref="L31">
    <cfRule type="cellIs" dxfId="532" priority="233" operator="equal">
      <formula>0</formula>
    </cfRule>
  </conditionalFormatting>
  <conditionalFormatting sqref="L30">
    <cfRule type="cellIs" dxfId="531" priority="232" operator="equal">
      <formula>0</formula>
    </cfRule>
  </conditionalFormatting>
  <conditionalFormatting sqref="L29">
    <cfRule type="cellIs" dxfId="530" priority="231" operator="equal">
      <formula>0</formula>
    </cfRule>
  </conditionalFormatting>
  <conditionalFormatting sqref="L37">
    <cfRule type="cellIs" dxfId="529" priority="230" operator="equal">
      <formula>0</formula>
    </cfRule>
  </conditionalFormatting>
  <conditionalFormatting sqref="L36">
    <cfRule type="cellIs" dxfId="528" priority="229" operator="equal">
      <formula>0</formula>
    </cfRule>
  </conditionalFormatting>
  <conditionalFormatting sqref="L35">
    <cfRule type="cellIs" dxfId="527" priority="228" operator="equal">
      <formula>0</formula>
    </cfRule>
  </conditionalFormatting>
  <conditionalFormatting sqref="L34">
    <cfRule type="cellIs" dxfId="526" priority="227" operator="equal">
      <formula>0</formula>
    </cfRule>
  </conditionalFormatting>
  <conditionalFormatting sqref="L42">
    <cfRule type="cellIs" dxfId="525" priority="226" operator="equal">
      <formula>0</formula>
    </cfRule>
  </conditionalFormatting>
  <conditionalFormatting sqref="L41">
    <cfRule type="cellIs" dxfId="524" priority="225" operator="equal">
      <formula>0</formula>
    </cfRule>
  </conditionalFormatting>
  <conditionalFormatting sqref="L40">
    <cfRule type="cellIs" dxfId="523" priority="224" operator="equal">
      <formula>0</formula>
    </cfRule>
  </conditionalFormatting>
  <conditionalFormatting sqref="L39">
    <cfRule type="cellIs" dxfId="522" priority="223" operator="equal">
      <formula>0</formula>
    </cfRule>
  </conditionalFormatting>
  <conditionalFormatting sqref="G37">
    <cfRule type="cellIs" dxfId="521" priority="200" operator="equal">
      <formula>0</formula>
    </cfRule>
  </conditionalFormatting>
  <conditionalFormatting sqref="G42">
    <cfRule type="cellIs" dxfId="520" priority="198" operator="equal">
      <formula>0</formula>
    </cfRule>
  </conditionalFormatting>
  <conditionalFormatting sqref="C5">
    <cfRule type="cellIs" dxfId="519" priority="184" operator="equal">
      <formula>0</formula>
    </cfRule>
  </conditionalFormatting>
  <conditionalFormatting sqref="C3">
    <cfRule type="cellIs" dxfId="518" priority="186" operator="equal">
      <formula>0</formula>
    </cfRule>
  </conditionalFormatting>
  <conditionalFormatting sqref="C4">
    <cfRule type="cellIs" dxfId="517" priority="185" operator="equal">
      <formula>0</formula>
    </cfRule>
  </conditionalFormatting>
  <conditionalFormatting sqref="B3 D3">
    <cfRule type="cellIs" dxfId="516" priority="197" operator="equal">
      <formula>0</formula>
    </cfRule>
  </conditionalFormatting>
  <conditionalFormatting sqref="B4 D4">
    <cfRule type="cellIs" dxfId="515" priority="196" operator="equal">
      <formula>0</formula>
    </cfRule>
  </conditionalFormatting>
  <conditionalFormatting sqref="B5 D5">
    <cfRule type="cellIs" dxfId="514" priority="195" operator="equal">
      <formula>0</formula>
    </cfRule>
  </conditionalFormatting>
  <conditionalFormatting sqref="B7">
    <cfRule type="cellIs" dxfId="513" priority="194" operator="equal">
      <formula>0</formula>
    </cfRule>
  </conditionalFormatting>
  <conditionalFormatting sqref="B8 D8">
    <cfRule type="cellIs" priority="193" operator="equal">
      <formula>0</formula>
    </cfRule>
  </conditionalFormatting>
  <conditionalFormatting sqref="B9 D9">
    <cfRule type="cellIs" dxfId="512" priority="192" operator="equal">
      <formula>0</formula>
    </cfRule>
  </conditionalFormatting>
  <conditionalFormatting sqref="B10 D10">
    <cfRule type="cellIs" dxfId="511" priority="190" operator="equal">
      <formula>0</formula>
    </cfRule>
    <cfRule type="cellIs" dxfId="510" priority="191" operator="equal">
      <formula>0</formula>
    </cfRule>
  </conditionalFormatting>
  <conditionalFormatting sqref="B6 D6">
    <cfRule type="cellIs" dxfId="509" priority="188" operator="equal">
      <formula>0</formula>
    </cfRule>
  </conditionalFormatting>
  <conditionalFormatting sqref="D7">
    <cfRule type="cellIs" dxfId="508" priority="187" operator="equal">
      <formula>0</formula>
    </cfRule>
  </conditionalFormatting>
  <conditionalFormatting sqref="C7">
    <cfRule type="cellIs" dxfId="507" priority="183" operator="equal">
      <formula>0</formula>
    </cfRule>
  </conditionalFormatting>
  <conditionalFormatting sqref="C8">
    <cfRule type="cellIs" priority="182" operator="equal">
      <formula>0</formula>
    </cfRule>
  </conditionalFormatting>
  <conditionalFormatting sqref="C9">
    <cfRule type="cellIs" dxfId="506" priority="181" operator="equal">
      <formula>0</formula>
    </cfRule>
  </conditionalFormatting>
  <conditionalFormatting sqref="C10">
    <cfRule type="cellIs" dxfId="505" priority="179" operator="equal">
      <formula>0</formula>
    </cfRule>
    <cfRule type="cellIs" dxfId="504" priority="180" operator="equal">
      <formula>0</formula>
    </cfRule>
  </conditionalFormatting>
  <conditionalFormatting sqref="C6">
    <cfRule type="cellIs" dxfId="503" priority="178" operator="equal">
      <formula>0</formula>
    </cfRule>
  </conditionalFormatting>
  <conditionalFormatting sqref="E10">
    <cfRule type="cellIs" priority="137" operator="equal">
      <formula>0</formula>
    </cfRule>
  </conditionalFormatting>
  <conditionalFormatting sqref="E3">
    <cfRule type="cellIs" dxfId="502" priority="152" operator="equal">
      <formula>0</formula>
    </cfRule>
  </conditionalFormatting>
  <conditionalFormatting sqref="E3">
    <cfRule type="cellIs" priority="151" operator="equal">
      <formula>0</formula>
    </cfRule>
  </conditionalFormatting>
  <conditionalFormatting sqref="E5">
    <cfRule type="cellIs" dxfId="501" priority="148" operator="equal">
      <formula>0</formula>
    </cfRule>
  </conditionalFormatting>
  <conditionalFormatting sqref="E5">
    <cfRule type="cellIs" priority="147" operator="equal">
      <formula>0</formula>
    </cfRule>
  </conditionalFormatting>
  <conditionalFormatting sqref="E7">
    <cfRule type="cellIs" dxfId="500" priority="144" operator="equal">
      <formula>0</formula>
    </cfRule>
  </conditionalFormatting>
  <conditionalFormatting sqref="E7">
    <cfRule type="cellIs" priority="143" operator="equal">
      <formula>0</formula>
    </cfRule>
  </conditionalFormatting>
  <conditionalFormatting sqref="E9">
    <cfRule type="cellIs" dxfId="499" priority="140" operator="equal">
      <formula>0</formula>
    </cfRule>
  </conditionalFormatting>
  <conditionalFormatting sqref="E9">
    <cfRule type="cellIs" priority="139" operator="equal">
      <formula>0</formula>
    </cfRule>
  </conditionalFormatting>
  <conditionalFormatting sqref="E4">
    <cfRule type="cellIs" dxfId="498" priority="150" operator="equal">
      <formula>0</formula>
    </cfRule>
  </conditionalFormatting>
  <conditionalFormatting sqref="E4">
    <cfRule type="cellIs" priority="149" operator="equal">
      <formula>0</formula>
    </cfRule>
  </conditionalFormatting>
  <conditionalFormatting sqref="E6">
    <cfRule type="cellIs" dxfId="497" priority="146" operator="equal">
      <formula>0</formula>
    </cfRule>
  </conditionalFormatting>
  <conditionalFormatting sqref="E6">
    <cfRule type="cellIs" priority="145" operator="equal">
      <formula>0</formula>
    </cfRule>
  </conditionalFormatting>
  <conditionalFormatting sqref="E8">
    <cfRule type="cellIs" dxfId="496" priority="142" operator="equal">
      <formula>0</formula>
    </cfRule>
  </conditionalFormatting>
  <conditionalFormatting sqref="E8">
    <cfRule type="cellIs" priority="141" operator="equal">
      <formula>0</formula>
    </cfRule>
  </conditionalFormatting>
  <conditionalFormatting sqref="E10">
    <cfRule type="cellIs" dxfId="495" priority="138" operator="equal">
      <formula>0</formula>
    </cfRule>
  </conditionalFormatting>
  <conditionalFormatting sqref="G4:G10">
    <cfRule type="cellIs" dxfId="494" priority="128" operator="equal">
      <formula>0</formula>
    </cfRule>
  </conditionalFormatting>
  <conditionalFormatting sqref="F6">
    <cfRule type="cellIs" dxfId="493" priority="119" operator="equal">
      <formula>0</formula>
    </cfRule>
  </conditionalFormatting>
  <conditionalFormatting sqref="F3">
    <cfRule type="cellIs" dxfId="492" priority="127" operator="equal">
      <formula>0</formula>
    </cfRule>
  </conditionalFormatting>
  <conditionalFormatting sqref="F4">
    <cfRule type="cellIs" dxfId="491" priority="126" operator="equal">
      <formula>0</formula>
    </cfRule>
  </conditionalFormatting>
  <conditionalFormatting sqref="F5">
    <cfRule type="cellIs" dxfId="490" priority="125" operator="equal">
      <formula>0</formula>
    </cfRule>
  </conditionalFormatting>
  <conditionalFormatting sqref="F7">
    <cfRule type="cellIs" dxfId="489" priority="124" operator="equal">
      <formula>0</formula>
    </cfRule>
  </conditionalFormatting>
  <conditionalFormatting sqref="F9">
    <cfRule type="cellIs" dxfId="488" priority="122" operator="equal">
      <formula>0</formula>
    </cfRule>
  </conditionalFormatting>
  <conditionalFormatting sqref="G3:I3">
    <cfRule type="cellIs" dxfId="487" priority="118" operator="equal">
      <formula>0</formula>
    </cfRule>
  </conditionalFormatting>
  <conditionalFormatting sqref="F8 H9:H10">
    <cfRule type="cellIs" priority="123" operator="equal">
      <formula>0</formula>
    </cfRule>
  </conditionalFormatting>
  <conditionalFormatting sqref="F10">
    <cfRule type="cellIs" dxfId="486" priority="120" operator="equal">
      <formula>0</formula>
    </cfRule>
    <cfRule type="cellIs" dxfId="485" priority="121" operator="equal">
      <formula>0</formula>
    </cfRule>
  </conditionalFormatting>
  <conditionalFormatting sqref="H7">
    <cfRule type="cellIs" dxfId="484" priority="110" operator="equal">
      <formula>0</formula>
    </cfRule>
  </conditionalFormatting>
  <conditionalFormatting sqref="I6">
    <cfRule type="cellIs" dxfId="483" priority="113" operator="equal">
      <formula>0</formula>
    </cfRule>
  </conditionalFormatting>
  <conditionalFormatting sqref="H5">
    <cfRule type="cellIs" dxfId="482" priority="112" operator="equal">
      <formula>0</formula>
    </cfRule>
  </conditionalFormatting>
  <conditionalFormatting sqref="H4:I4">
    <cfRule type="cellIs" dxfId="481" priority="117" operator="equal">
      <formula>0</formula>
    </cfRule>
  </conditionalFormatting>
  <conditionalFormatting sqref="I5">
    <cfRule type="cellIs" dxfId="480" priority="116" operator="equal">
      <formula>0</formula>
    </cfRule>
  </conditionalFormatting>
  <conditionalFormatting sqref="I7">
    <cfRule type="cellIs" dxfId="479" priority="115" operator="equal">
      <formula>0</formula>
    </cfRule>
  </conditionalFormatting>
  <conditionalFormatting sqref="H8:I8">
    <cfRule type="cellIs" priority="114" operator="equal">
      <formula>0</formula>
    </cfRule>
  </conditionalFormatting>
  <conditionalFormatting sqref="H6">
    <cfRule type="cellIs" dxfId="478" priority="111" operator="equal">
      <formula>0</formula>
    </cfRule>
  </conditionalFormatting>
  <conditionalFormatting sqref="I9:I10">
    <cfRule type="cellIs" priority="107" operator="equal">
      <formula>0</formula>
    </cfRule>
  </conditionalFormatting>
  <conditionalFormatting sqref="E11 G11">
    <cfRule type="cellIs" dxfId="477" priority="94" operator="equal">
      <formula>0</formula>
    </cfRule>
  </conditionalFormatting>
  <conditionalFormatting sqref="I11">
    <cfRule type="cellIs" priority="93" operator="equal">
      <formula>0</formula>
    </cfRule>
  </conditionalFormatting>
  <conditionalFormatting sqref="E13 G13">
    <cfRule type="cellIs" dxfId="476"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5"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4"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3" priority="44" operator="equal">
      <formula>0</formula>
    </cfRule>
  </conditionalFormatting>
  <conditionalFormatting sqref="K5">
    <cfRule type="cellIs" dxfId="472" priority="43" operator="equal">
      <formula>0</formula>
    </cfRule>
  </conditionalFormatting>
  <conditionalFormatting sqref="K6">
    <cfRule type="cellIs" dxfId="471" priority="42" operator="equal">
      <formula>0</formula>
    </cfRule>
  </conditionalFormatting>
  <conditionalFormatting sqref="K9">
    <cfRule type="cellIs" dxfId="470" priority="41" operator="equal">
      <formula>0</formula>
    </cfRule>
  </conditionalFormatting>
  <conditionalFormatting sqref="K10">
    <cfRule type="cellIs" dxfId="469" priority="40" operator="equal">
      <formula>0</formula>
    </cfRule>
  </conditionalFormatting>
  <conditionalFormatting sqref="K7">
    <cfRule type="cellIs" dxfId="468" priority="39" operator="equal">
      <formula>0</formula>
    </cfRule>
  </conditionalFormatting>
  <conditionalFormatting sqref="K8">
    <cfRule type="cellIs" dxfId="467" priority="38" operator="equal">
      <formula>0</formula>
    </cfRule>
  </conditionalFormatting>
  <conditionalFormatting sqref="K11">
    <cfRule type="cellIs" dxfId="466" priority="37" operator="equal">
      <formula>0</formula>
    </cfRule>
  </conditionalFormatting>
  <conditionalFormatting sqref="K13">
    <cfRule type="cellIs" dxfId="465" priority="36" operator="equal">
      <formula>0</formula>
    </cfRule>
  </conditionalFormatting>
  <conditionalFormatting sqref="K12">
    <cfRule type="cellIs" dxfId="464" priority="35" operator="equal">
      <formula>0</formula>
    </cfRule>
  </conditionalFormatting>
  <conditionalFormatting sqref="J3:J4">
    <cfRule type="cellIs" dxfId="463" priority="34" operator="equal">
      <formula>0</formula>
    </cfRule>
  </conditionalFormatting>
  <conditionalFormatting sqref="J5">
    <cfRule type="cellIs" dxfId="462" priority="33" operator="equal">
      <formula>0</formula>
    </cfRule>
  </conditionalFormatting>
  <conditionalFormatting sqref="J6">
    <cfRule type="cellIs" dxfId="461" priority="32" operator="equal">
      <formula>0</formula>
    </cfRule>
  </conditionalFormatting>
  <conditionalFormatting sqref="J9">
    <cfRule type="cellIs" dxfId="460" priority="31" operator="equal">
      <formula>0</formula>
    </cfRule>
  </conditionalFormatting>
  <conditionalFormatting sqref="J10">
    <cfRule type="cellIs" dxfId="459" priority="30" operator="equal">
      <formula>0</formula>
    </cfRule>
  </conditionalFormatting>
  <conditionalFormatting sqref="J7">
    <cfRule type="cellIs" dxfId="458" priority="29" operator="equal">
      <formula>0</formula>
    </cfRule>
  </conditionalFormatting>
  <conditionalFormatting sqref="J8">
    <cfRule type="cellIs" dxfId="457" priority="28" operator="equal">
      <formula>0</formula>
    </cfRule>
  </conditionalFormatting>
  <conditionalFormatting sqref="J11">
    <cfRule type="cellIs" dxfId="456" priority="27" operator="equal">
      <formula>0</formula>
    </cfRule>
  </conditionalFormatting>
  <conditionalFormatting sqref="J13">
    <cfRule type="cellIs" dxfId="455" priority="26" operator="equal">
      <formula>0</formula>
    </cfRule>
  </conditionalFormatting>
  <conditionalFormatting sqref="J12">
    <cfRule type="cellIs" dxfId="454" priority="25" operator="equal">
      <formula>0</formula>
    </cfRule>
  </conditionalFormatting>
  <conditionalFormatting sqref="K25">
    <cfRule type="cellIs" dxfId="453" priority="24" operator="equal">
      <formula>0</formula>
    </cfRule>
  </conditionalFormatting>
  <conditionalFormatting sqref="K26">
    <cfRule type="cellIs" dxfId="452" priority="23" operator="equal">
      <formula>0</formula>
    </cfRule>
  </conditionalFormatting>
  <conditionalFormatting sqref="J25">
    <cfRule type="cellIs" dxfId="451" priority="22" operator="equal">
      <formula>0</formula>
    </cfRule>
  </conditionalFormatting>
  <conditionalFormatting sqref="J26">
    <cfRule type="cellIs" dxfId="450" priority="21" operator="equal">
      <formula>0</formula>
    </cfRule>
  </conditionalFormatting>
  <conditionalFormatting sqref="L3:L4">
    <cfRule type="cellIs" dxfId="449" priority="20" operator="equal">
      <formula>0</formula>
    </cfRule>
  </conditionalFormatting>
  <conditionalFormatting sqref="L5">
    <cfRule type="cellIs" dxfId="448" priority="19" operator="equal">
      <formula>0</formula>
    </cfRule>
  </conditionalFormatting>
  <conditionalFormatting sqref="L6">
    <cfRule type="cellIs" dxfId="447" priority="18" operator="equal">
      <formula>0</formula>
    </cfRule>
  </conditionalFormatting>
  <conditionalFormatting sqref="L7">
    <cfRule type="cellIs" dxfId="446" priority="17" operator="equal">
      <formula>0</formula>
    </cfRule>
  </conditionalFormatting>
  <conditionalFormatting sqref="L8:L9">
    <cfRule type="cellIs" dxfId="445" priority="16" operator="equal">
      <formula>0</formula>
    </cfRule>
  </conditionalFormatting>
  <conditionalFormatting sqref="L14">
    <cfRule type="cellIs" dxfId="444" priority="15" operator="equal">
      <formula>0</formula>
    </cfRule>
  </conditionalFormatting>
  <conditionalFormatting sqref="L15">
    <cfRule type="cellIs" dxfId="443" priority="14" operator="equal">
      <formula>0</formula>
    </cfRule>
  </conditionalFormatting>
  <conditionalFormatting sqref="L16">
    <cfRule type="cellIs" dxfId="442" priority="13" operator="equal">
      <formula>0</formula>
    </cfRule>
  </conditionalFormatting>
  <conditionalFormatting sqref="L17">
    <cfRule type="cellIs" dxfId="441" priority="12" operator="equal">
      <formula>0</formula>
    </cfRule>
  </conditionalFormatting>
  <conditionalFormatting sqref="L18">
    <cfRule type="cellIs" dxfId="440" priority="11" operator="equal">
      <formula>0</formula>
    </cfRule>
  </conditionalFormatting>
  <conditionalFormatting sqref="L19">
    <cfRule type="cellIs" dxfId="439" priority="10" operator="equal">
      <formula>0</formula>
    </cfRule>
  </conditionalFormatting>
  <conditionalFormatting sqref="L20">
    <cfRule type="cellIs" dxfId="438" priority="9" operator="equal">
      <formula>0</formula>
    </cfRule>
  </conditionalFormatting>
  <conditionalFormatting sqref="L21">
    <cfRule type="cellIs" dxfId="437" priority="8" operator="equal">
      <formula>0</formula>
    </cfRule>
  </conditionalFormatting>
  <conditionalFormatting sqref="L22">
    <cfRule type="cellIs" dxfId="436" priority="7" operator="equal">
      <formula>0</formula>
    </cfRule>
  </conditionalFormatting>
  <conditionalFormatting sqref="L23">
    <cfRule type="cellIs" dxfId="435" priority="6" operator="equal">
      <formula>0</formula>
    </cfRule>
  </conditionalFormatting>
  <conditionalFormatting sqref="L24">
    <cfRule type="cellIs" dxfId="434" priority="5" operator="equal">
      <formula>0</formula>
    </cfRule>
  </conditionalFormatting>
  <conditionalFormatting sqref="L10">
    <cfRule type="cellIs" dxfId="433" priority="4" operator="equal">
      <formula>0</formula>
    </cfRule>
  </conditionalFormatting>
  <conditionalFormatting sqref="L11">
    <cfRule type="cellIs" dxfId="432" priority="3" operator="equal">
      <formula>0</formula>
    </cfRule>
  </conditionalFormatting>
  <conditionalFormatting sqref="L12">
    <cfRule type="cellIs" dxfId="431" priority="2" operator="equal">
      <formula>0</formula>
    </cfRule>
  </conditionalFormatting>
  <conditionalFormatting sqref="L13">
    <cfRule type="cellIs" dxfId="43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5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31" t="s">
        <v>14</v>
      </c>
      <c r="O3" s="434">
        <f ca="1">($G3+$G4+$G5+$G6+$G7)</f>
        <v>1056</v>
      </c>
    </row>
    <row r="4" spans="1:15" ht="15" customHeight="1" x14ac:dyDescent="0.3">
      <c r="A4" s="45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5"/>
    </row>
    <row r="5" spans="1:15" ht="15" customHeight="1" x14ac:dyDescent="0.3">
      <c r="A5" s="45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5"/>
    </row>
    <row r="6" spans="1:15" ht="15" customHeight="1" x14ac:dyDescent="0.3">
      <c r="A6" s="45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5"/>
    </row>
    <row r="7" spans="1:15" ht="15" customHeight="1" thickBot="1" x14ac:dyDescent="0.35">
      <c r="A7" s="45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6"/>
    </row>
    <row r="8" spans="1:15" ht="15" customHeight="1" x14ac:dyDescent="0.3">
      <c r="A8" s="454"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3" t="s">
        <v>368</v>
      </c>
      <c r="N8" s="446" t="s">
        <v>20</v>
      </c>
      <c r="O8" s="448">
        <f ca="1">($G8+$G9+$G10+$G13)</f>
        <v>960</v>
      </c>
    </row>
    <row r="9" spans="1:15" ht="15" customHeight="1" x14ac:dyDescent="0.3">
      <c r="A9" s="455"/>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4"/>
      <c r="N9" s="432"/>
      <c r="O9" s="435"/>
    </row>
    <row r="10" spans="1:15" ht="15" customHeight="1" x14ac:dyDescent="0.3">
      <c r="A10" s="455"/>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4"/>
      <c r="N10" s="432"/>
      <c r="O10" s="435"/>
    </row>
    <row r="11" spans="1:15" ht="15" customHeight="1" x14ac:dyDescent="0.3">
      <c r="A11" s="455"/>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15" customHeight="1" x14ac:dyDescent="0.3">
      <c r="A12" s="455"/>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5"/>
      <c r="N12" s="447"/>
      <c r="O12" s="449"/>
    </row>
    <row r="13" spans="1:15" ht="15" customHeight="1" thickBot="1" x14ac:dyDescent="0.35">
      <c r="A13" s="456"/>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5"/>
      <c r="N13" s="447"/>
      <c r="O13" s="449"/>
    </row>
    <row r="14" spans="1:15" ht="15" customHeight="1" x14ac:dyDescent="0.3">
      <c r="A14" s="457" t="s">
        <v>23</v>
      </c>
      <c r="B14" s="34" t="s">
        <v>24</v>
      </c>
      <c r="C14" s="36" t="s">
        <v>613</v>
      </c>
      <c r="D14" s="42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40" t="s">
        <v>369</v>
      </c>
      <c r="N14" s="431" t="s">
        <v>29</v>
      </c>
      <c r="O14" s="434">
        <f ca="1">(4*32+G18+G19+G20+G21+G22+G23)</f>
        <v>160</v>
      </c>
    </row>
    <row r="15" spans="1:15" x14ac:dyDescent="0.3">
      <c r="A15" s="458"/>
      <c r="B15" s="35" t="s">
        <v>30</v>
      </c>
      <c r="C15" s="37" t="s">
        <v>613</v>
      </c>
      <c r="D15" s="42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37"/>
      <c r="N15" s="432"/>
      <c r="O15" s="435"/>
    </row>
    <row r="16" spans="1:15" x14ac:dyDescent="0.3">
      <c r="A16" s="458"/>
      <c r="B16" s="35" t="s">
        <v>31</v>
      </c>
      <c r="C16" s="37" t="s">
        <v>613</v>
      </c>
      <c r="D16" s="42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37"/>
      <c r="N16" s="432"/>
      <c r="O16" s="435"/>
    </row>
    <row r="17" spans="1:15" x14ac:dyDescent="0.3">
      <c r="A17" s="458"/>
      <c r="B17" s="35" t="s">
        <v>32</v>
      </c>
      <c r="C17" s="37" t="s">
        <v>613</v>
      </c>
      <c r="D17" s="42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37"/>
      <c r="N17" s="432"/>
      <c r="O17" s="435"/>
    </row>
    <row r="18" spans="1:15" x14ac:dyDescent="0.3">
      <c r="A18" s="458"/>
      <c r="B18" s="35" t="s">
        <v>34</v>
      </c>
      <c r="C18" s="35" t="s">
        <v>253</v>
      </c>
      <c r="D18" s="42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7"/>
      <c r="N18" s="432"/>
      <c r="O18" s="435"/>
    </row>
    <row r="19" spans="1:15" x14ac:dyDescent="0.3">
      <c r="A19" s="458"/>
      <c r="B19" s="35" t="s">
        <v>36</v>
      </c>
      <c r="C19" s="73" t="s">
        <v>214</v>
      </c>
      <c r="D19" s="42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7"/>
      <c r="N19" s="432"/>
      <c r="O19" s="435"/>
    </row>
    <row r="20" spans="1:15" x14ac:dyDescent="0.3">
      <c r="A20" s="458"/>
      <c r="B20" s="73" t="s">
        <v>246</v>
      </c>
      <c r="C20" s="73" t="s">
        <v>205</v>
      </c>
      <c r="D20" s="42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7"/>
      <c r="N20" s="432"/>
      <c r="O20" s="435"/>
    </row>
    <row r="21" spans="1:15" x14ac:dyDescent="0.3">
      <c r="A21" s="458"/>
      <c r="B21" s="73" t="s">
        <v>250</v>
      </c>
      <c r="C21" s="73" t="s">
        <v>390</v>
      </c>
      <c r="D21" s="42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37"/>
      <c r="N21" s="432"/>
      <c r="O21" s="435"/>
    </row>
    <row r="22" spans="1:15" x14ac:dyDescent="0.3">
      <c r="A22" s="458"/>
      <c r="B22" s="73" t="s">
        <v>251</v>
      </c>
      <c r="C22" s="73" t="s">
        <v>390</v>
      </c>
      <c r="D22" s="42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37"/>
      <c r="N22" s="432"/>
      <c r="O22" s="435"/>
    </row>
    <row r="23" spans="1:15" x14ac:dyDescent="0.3">
      <c r="A23" s="458"/>
      <c r="B23" s="73" t="s">
        <v>252</v>
      </c>
      <c r="C23" s="73" t="s">
        <v>390</v>
      </c>
      <c r="D23" s="42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37"/>
      <c r="N23" s="432"/>
      <c r="O23" s="435"/>
    </row>
    <row r="24" spans="1:15" x14ac:dyDescent="0.3">
      <c r="A24" s="458"/>
      <c r="B24" s="35" t="s">
        <v>38</v>
      </c>
      <c r="C24" s="37" t="s">
        <v>613</v>
      </c>
      <c r="D24" s="42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37"/>
      <c r="N24" s="432"/>
      <c r="O24" s="435"/>
    </row>
    <row r="25" spans="1:15" x14ac:dyDescent="0.3">
      <c r="A25" s="457" t="s">
        <v>41</v>
      </c>
      <c r="B25" s="35" t="s">
        <v>42</v>
      </c>
      <c r="C25" s="35" t="s">
        <v>614</v>
      </c>
      <c r="D25" s="42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37" t="s">
        <v>370</v>
      </c>
      <c r="N25" s="432"/>
      <c r="O25" s="435">
        <f ca="1">(G25+G26)</f>
        <v>64</v>
      </c>
    </row>
    <row r="26" spans="1:15" ht="15" thickBot="1" x14ac:dyDescent="0.35">
      <c r="A26" s="459"/>
      <c r="B26" s="74" t="s">
        <v>46</v>
      </c>
      <c r="C26" s="74" t="s">
        <v>615</v>
      </c>
      <c r="D26" s="430"/>
      <c r="E26" s="123"/>
      <c r="F26" s="76" t="s">
        <v>44</v>
      </c>
      <c r="G26" s="75">
        <f ca="1">IF($C26="No Param",32,VLOOKUP($C26,INDIRECT(Config!$B$1),HLOOKUP(D$1,INDIRECT(Config!$E$1),2,FALSE),FALSE)*32)</f>
        <v>32</v>
      </c>
      <c r="H26" s="26" t="str">
        <f ca="1">IF(G26=0,"N/A","0x8004")</f>
        <v>0x8004</v>
      </c>
      <c r="I26" s="26" t="s">
        <v>47</v>
      </c>
      <c r="J26" s="26" t="s">
        <v>48</v>
      </c>
      <c r="K26" s="26" t="s">
        <v>387</v>
      </c>
      <c r="L26" s="234"/>
      <c r="M26" s="433"/>
      <c r="N26" s="433"/>
      <c r="O26" s="436"/>
    </row>
    <row r="27" spans="1:15" ht="15" thickBot="1" x14ac:dyDescent="0.35">
      <c r="A27" s="124"/>
    </row>
    <row r="28" spans="1:15" x14ac:dyDescent="0.3">
      <c r="A28" s="42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1" t="s">
        <v>48</v>
      </c>
      <c r="O28" s="434">
        <f ca="1">SUM(G28:G42)</f>
        <v>576</v>
      </c>
    </row>
    <row r="29" spans="1:15" ht="15" customHeight="1" x14ac:dyDescent="0.3">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3">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3">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3">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3">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3">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3">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3">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3">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3">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3">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3">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3">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 thickBot="1" x14ac:dyDescent="0.35">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29" priority="227" operator="equal">
      <formula>0</formula>
    </cfRule>
  </conditionalFormatting>
  <conditionalFormatting sqref="J28">
    <cfRule type="cellIs" dxfId="428" priority="243" operator="equal">
      <formula>0</formula>
    </cfRule>
  </conditionalFormatting>
  <conditionalFormatting sqref="C3">
    <cfRule type="cellIs" dxfId="427" priority="229" operator="equal">
      <formula>0</formula>
    </cfRule>
  </conditionalFormatting>
  <conditionalFormatting sqref="C4">
    <cfRule type="cellIs" dxfId="426" priority="228" operator="equal">
      <formula>0</formula>
    </cfRule>
  </conditionalFormatting>
  <conditionalFormatting sqref="B3 D3 G14:G26">
    <cfRule type="cellIs" dxfId="425" priority="240" operator="equal">
      <formula>0</formula>
    </cfRule>
  </conditionalFormatting>
  <conditionalFormatting sqref="B4 D4">
    <cfRule type="cellIs" dxfId="424" priority="239" operator="equal">
      <formula>0</formula>
    </cfRule>
  </conditionalFormatting>
  <conditionalFormatting sqref="B5 D5">
    <cfRule type="cellIs" dxfId="423" priority="238" operator="equal">
      <formula>0</formula>
    </cfRule>
  </conditionalFormatting>
  <conditionalFormatting sqref="B7">
    <cfRule type="cellIs" dxfId="422" priority="237" operator="equal">
      <formula>0</formula>
    </cfRule>
  </conditionalFormatting>
  <conditionalFormatting sqref="B8 D8">
    <cfRule type="cellIs" priority="236" operator="equal">
      <formula>0</formula>
    </cfRule>
  </conditionalFormatting>
  <conditionalFormatting sqref="B9 D9">
    <cfRule type="cellIs" dxfId="421" priority="235" operator="equal">
      <formula>0</formula>
    </cfRule>
  </conditionalFormatting>
  <conditionalFormatting sqref="B10 D10">
    <cfRule type="cellIs" dxfId="420" priority="233" operator="equal">
      <formula>0</formula>
    </cfRule>
    <cfRule type="cellIs" dxfId="419" priority="234" operator="equal">
      <formula>0</formula>
    </cfRule>
  </conditionalFormatting>
  <conditionalFormatting sqref="B6 D6">
    <cfRule type="cellIs" dxfId="418" priority="231" operator="equal">
      <formula>0</formula>
    </cfRule>
  </conditionalFormatting>
  <conditionalFormatting sqref="D7">
    <cfRule type="cellIs" dxfId="417" priority="230" operator="equal">
      <formula>0</formula>
    </cfRule>
  </conditionalFormatting>
  <conditionalFormatting sqref="C7">
    <cfRule type="cellIs" dxfId="416" priority="226" operator="equal">
      <formula>0</formula>
    </cfRule>
  </conditionalFormatting>
  <conditionalFormatting sqref="C8">
    <cfRule type="cellIs" priority="225" operator="equal">
      <formula>0</formula>
    </cfRule>
  </conditionalFormatting>
  <conditionalFormatting sqref="C9">
    <cfRule type="cellIs" dxfId="415" priority="224" operator="equal">
      <formula>0</formula>
    </cfRule>
  </conditionalFormatting>
  <conditionalFormatting sqref="C10">
    <cfRule type="cellIs" dxfId="414" priority="222" operator="equal">
      <formula>0</formula>
    </cfRule>
    <cfRule type="cellIs" dxfId="413" priority="223" operator="equal">
      <formula>0</formula>
    </cfRule>
  </conditionalFormatting>
  <conditionalFormatting sqref="C6">
    <cfRule type="cellIs" dxfId="412" priority="221" operator="equal">
      <formula>0</formula>
    </cfRule>
  </conditionalFormatting>
  <conditionalFormatting sqref="G40">
    <cfRule type="cellIs" dxfId="411" priority="141" operator="equal">
      <formula>0</formula>
    </cfRule>
  </conditionalFormatting>
  <conditionalFormatting sqref="G37">
    <cfRule type="cellIs" dxfId="410" priority="140" operator="equal">
      <formula>0</formula>
    </cfRule>
  </conditionalFormatting>
  <conditionalFormatting sqref="G42">
    <cfRule type="cellIs" dxfId="409" priority="139" operator="equal">
      <formula>0</formula>
    </cfRule>
  </conditionalFormatting>
  <conditionalFormatting sqref="L32">
    <cfRule type="cellIs" dxfId="408" priority="182" operator="equal">
      <formula>0</formula>
    </cfRule>
  </conditionalFormatting>
  <conditionalFormatting sqref="L31">
    <cfRule type="cellIs" dxfId="407" priority="181" operator="equal">
      <formula>0</formula>
    </cfRule>
  </conditionalFormatting>
  <conditionalFormatting sqref="L30">
    <cfRule type="cellIs" dxfId="406" priority="180" operator="equal">
      <formula>0</formula>
    </cfRule>
  </conditionalFormatting>
  <conditionalFormatting sqref="L36">
    <cfRule type="cellIs" dxfId="405" priority="177" operator="equal">
      <formula>0</formula>
    </cfRule>
  </conditionalFormatting>
  <conditionalFormatting sqref="L29">
    <cfRule type="cellIs" dxfId="404" priority="179" operator="equal">
      <formula>0</formula>
    </cfRule>
  </conditionalFormatting>
  <conditionalFormatting sqref="L37">
    <cfRule type="cellIs" dxfId="403" priority="178" operator="equal">
      <formula>0</formula>
    </cfRule>
  </conditionalFormatting>
  <conditionalFormatting sqref="L35">
    <cfRule type="cellIs" dxfId="402" priority="176" operator="equal">
      <formula>0</formula>
    </cfRule>
  </conditionalFormatting>
  <conditionalFormatting sqref="L34">
    <cfRule type="cellIs" dxfId="401" priority="175" operator="equal">
      <formula>0</formula>
    </cfRule>
  </conditionalFormatting>
  <conditionalFormatting sqref="L42">
    <cfRule type="cellIs" dxfId="400" priority="174" operator="equal">
      <formula>0</formula>
    </cfRule>
  </conditionalFormatting>
  <conditionalFormatting sqref="L41">
    <cfRule type="cellIs" dxfId="399" priority="173" operator="equal">
      <formula>0</formula>
    </cfRule>
  </conditionalFormatting>
  <conditionalFormatting sqref="L40">
    <cfRule type="cellIs" dxfId="398" priority="172" operator="equal">
      <formula>0</formula>
    </cfRule>
  </conditionalFormatting>
  <conditionalFormatting sqref="L39">
    <cfRule type="cellIs" dxfId="397" priority="171" operator="equal">
      <formula>0</formula>
    </cfRule>
  </conditionalFormatting>
  <conditionalFormatting sqref="K25">
    <cfRule type="cellIs" dxfId="396" priority="158" operator="equal">
      <formula>0</formula>
    </cfRule>
  </conditionalFormatting>
  <conditionalFormatting sqref="K26">
    <cfRule type="cellIs" dxfId="395" priority="156" operator="equal">
      <formula>0</formula>
    </cfRule>
  </conditionalFormatting>
  <conditionalFormatting sqref="G34">
    <cfRule type="cellIs" dxfId="394" priority="153" operator="equal">
      <formula>0</formula>
    </cfRule>
  </conditionalFormatting>
  <conditionalFormatting sqref="G36">
    <cfRule type="cellIs" dxfId="393" priority="152" operator="equal">
      <formula>0</formula>
    </cfRule>
  </conditionalFormatting>
  <conditionalFormatting sqref="G29">
    <cfRule type="cellIs" dxfId="392" priority="146" operator="equal">
      <formula>0</formula>
    </cfRule>
  </conditionalFormatting>
  <conditionalFormatting sqref="G32">
    <cfRule type="cellIs" dxfId="391" priority="150" operator="equal">
      <formula>0</formula>
    </cfRule>
  </conditionalFormatting>
  <conditionalFormatting sqref="G33">
    <cfRule type="cellIs" dxfId="390" priority="149" operator="equal">
      <formula>0</formula>
    </cfRule>
  </conditionalFormatting>
  <conditionalFormatting sqref="G28">
    <cfRule type="cellIs" dxfId="389" priority="151" operator="equal">
      <formula>0</formula>
    </cfRule>
  </conditionalFormatting>
  <conditionalFormatting sqref="G38">
    <cfRule type="cellIs" dxfId="388" priority="148" operator="equal">
      <formula>0</formula>
    </cfRule>
  </conditionalFormatting>
  <conditionalFormatting sqref="G35">
    <cfRule type="cellIs" dxfId="387" priority="147" operator="equal">
      <formula>0</formula>
    </cfRule>
  </conditionalFormatting>
  <conditionalFormatting sqref="G31">
    <cfRule type="cellIs" dxfId="386" priority="145" operator="equal">
      <formula>0</formula>
    </cfRule>
  </conditionalFormatting>
  <conditionalFormatting sqref="G30">
    <cfRule type="cellIs" dxfId="385" priority="144" operator="equal">
      <formula>0</formula>
    </cfRule>
  </conditionalFormatting>
  <conditionalFormatting sqref="G39">
    <cfRule type="cellIs" dxfId="384" priority="143" operator="equal">
      <formula>0</formula>
    </cfRule>
  </conditionalFormatting>
  <conditionalFormatting sqref="G41">
    <cfRule type="cellIs" dxfId="383" priority="142" operator="equal">
      <formula>0</formula>
    </cfRule>
  </conditionalFormatting>
  <conditionalFormatting sqref="G3:I3">
    <cfRule type="cellIs" dxfId="382" priority="70" operator="equal">
      <formula>0</formula>
    </cfRule>
  </conditionalFormatting>
  <conditionalFormatting sqref="H4:I4">
    <cfRule type="cellIs" dxfId="381" priority="69" operator="equal">
      <formula>0</formula>
    </cfRule>
  </conditionalFormatting>
  <conditionalFormatting sqref="I6">
    <cfRule type="cellIs" dxfId="380" priority="65" operator="equal">
      <formula>0</formula>
    </cfRule>
  </conditionalFormatting>
  <conditionalFormatting sqref="H5">
    <cfRule type="cellIs" dxfId="379" priority="64" operator="equal">
      <formula>0</formula>
    </cfRule>
  </conditionalFormatting>
  <conditionalFormatting sqref="H6">
    <cfRule type="cellIs" dxfId="378" priority="63" operator="equal">
      <formula>0</formula>
    </cfRule>
  </conditionalFormatting>
  <conditionalFormatting sqref="K3:K4">
    <cfRule type="cellIs" dxfId="377" priority="121" operator="equal">
      <formula>0</formula>
    </cfRule>
  </conditionalFormatting>
  <conditionalFormatting sqref="K5">
    <cfRule type="cellIs" dxfId="376" priority="119" operator="equal">
      <formula>0</formula>
    </cfRule>
  </conditionalFormatting>
  <conditionalFormatting sqref="K6">
    <cfRule type="cellIs" dxfId="375" priority="117" operator="equal">
      <formula>0</formula>
    </cfRule>
  </conditionalFormatting>
  <conditionalFormatting sqref="K9">
    <cfRule type="cellIs" dxfId="374" priority="115" operator="equal">
      <formula>0</formula>
    </cfRule>
  </conditionalFormatting>
  <conditionalFormatting sqref="K10">
    <cfRule type="cellIs" dxfId="373" priority="113" operator="equal">
      <formula>0</formula>
    </cfRule>
  </conditionalFormatting>
  <conditionalFormatting sqref="K7">
    <cfRule type="cellIs" dxfId="372" priority="109" operator="equal">
      <formula>0</formula>
    </cfRule>
  </conditionalFormatting>
  <conditionalFormatting sqref="K8">
    <cfRule type="cellIs" dxfId="371" priority="107" operator="equal">
      <formula>0</formula>
    </cfRule>
  </conditionalFormatting>
  <conditionalFormatting sqref="E10">
    <cfRule type="cellIs" priority="89" operator="equal">
      <formula>0</formula>
    </cfRule>
  </conditionalFormatting>
  <conditionalFormatting sqref="E3">
    <cfRule type="cellIs" dxfId="370" priority="104" operator="equal">
      <formula>0</formula>
    </cfRule>
  </conditionalFormatting>
  <conditionalFormatting sqref="E3">
    <cfRule type="cellIs" priority="103" operator="equal">
      <formula>0</formula>
    </cfRule>
  </conditionalFormatting>
  <conditionalFormatting sqref="E5">
    <cfRule type="cellIs" dxfId="369" priority="100" operator="equal">
      <formula>0</formula>
    </cfRule>
  </conditionalFormatting>
  <conditionalFormatting sqref="E5">
    <cfRule type="cellIs" priority="99" operator="equal">
      <formula>0</formula>
    </cfRule>
  </conditionalFormatting>
  <conditionalFormatting sqref="E7">
    <cfRule type="cellIs" dxfId="368" priority="96" operator="equal">
      <formula>0</formula>
    </cfRule>
  </conditionalFormatting>
  <conditionalFormatting sqref="E7">
    <cfRule type="cellIs" priority="95" operator="equal">
      <formula>0</formula>
    </cfRule>
  </conditionalFormatting>
  <conditionalFormatting sqref="E9">
    <cfRule type="cellIs" dxfId="367" priority="92" operator="equal">
      <formula>0</formula>
    </cfRule>
  </conditionalFormatting>
  <conditionalFormatting sqref="E9">
    <cfRule type="cellIs" priority="91" operator="equal">
      <formula>0</formula>
    </cfRule>
  </conditionalFormatting>
  <conditionalFormatting sqref="E4">
    <cfRule type="cellIs" dxfId="366" priority="102" operator="equal">
      <formula>0</formula>
    </cfRule>
  </conditionalFormatting>
  <conditionalFormatting sqref="E4">
    <cfRule type="cellIs" priority="101" operator="equal">
      <formula>0</formula>
    </cfRule>
  </conditionalFormatting>
  <conditionalFormatting sqref="E6">
    <cfRule type="cellIs" dxfId="365" priority="98" operator="equal">
      <formula>0</formula>
    </cfRule>
  </conditionalFormatting>
  <conditionalFormatting sqref="E6">
    <cfRule type="cellIs" priority="97" operator="equal">
      <formula>0</formula>
    </cfRule>
  </conditionalFormatting>
  <conditionalFormatting sqref="E8">
    <cfRule type="cellIs" dxfId="364" priority="94" operator="equal">
      <formula>0</formula>
    </cfRule>
  </conditionalFormatting>
  <conditionalFormatting sqref="E8">
    <cfRule type="cellIs" priority="93" operator="equal">
      <formula>0</formula>
    </cfRule>
  </conditionalFormatting>
  <conditionalFormatting sqref="E10">
    <cfRule type="cellIs" dxfId="363" priority="90" operator="equal">
      <formula>0</formula>
    </cfRule>
  </conditionalFormatting>
  <conditionalFormatting sqref="G4:G10">
    <cfRule type="cellIs" dxfId="362" priority="80" operator="equal">
      <formula>0</formula>
    </cfRule>
  </conditionalFormatting>
  <conditionalFormatting sqref="F6">
    <cfRule type="cellIs" dxfId="361" priority="71" operator="equal">
      <formula>0</formula>
    </cfRule>
  </conditionalFormatting>
  <conditionalFormatting sqref="F3">
    <cfRule type="cellIs" dxfId="360" priority="79" operator="equal">
      <formula>0</formula>
    </cfRule>
  </conditionalFormatting>
  <conditionalFormatting sqref="F4">
    <cfRule type="cellIs" dxfId="359" priority="78" operator="equal">
      <formula>0</formula>
    </cfRule>
  </conditionalFormatting>
  <conditionalFormatting sqref="F5">
    <cfRule type="cellIs" dxfId="358" priority="77" operator="equal">
      <formula>0</formula>
    </cfRule>
  </conditionalFormatting>
  <conditionalFormatting sqref="F7">
    <cfRule type="cellIs" dxfId="357" priority="76" operator="equal">
      <formula>0</formula>
    </cfRule>
  </conditionalFormatting>
  <conditionalFormatting sqref="F9">
    <cfRule type="cellIs" dxfId="356" priority="74" operator="equal">
      <formula>0</formula>
    </cfRule>
  </conditionalFormatting>
  <conditionalFormatting sqref="F8 H9:H10">
    <cfRule type="cellIs" priority="75" operator="equal">
      <formula>0</formula>
    </cfRule>
  </conditionalFormatting>
  <conditionalFormatting sqref="F10">
    <cfRule type="cellIs" dxfId="355" priority="72" operator="equal">
      <formula>0</formula>
    </cfRule>
    <cfRule type="cellIs" dxfId="354" priority="73" operator="equal">
      <formula>0</formula>
    </cfRule>
  </conditionalFormatting>
  <conditionalFormatting sqref="H7">
    <cfRule type="cellIs" dxfId="353" priority="62" operator="equal">
      <formula>0</formula>
    </cfRule>
  </conditionalFormatting>
  <conditionalFormatting sqref="I5">
    <cfRule type="cellIs" dxfId="352" priority="68" operator="equal">
      <formula>0</formula>
    </cfRule>
  </conditionalFormatting>
  <conditionalFormatting sqref="I7">
    <cfRule type="cellIs" dxfId="351"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0" priority="46" operator="equal">
      <formula>0</formula>
    </cfRule>
  </conditionalFormatting>
  <conditionalFormatting sqref="I11">
    <cfRule type="cellIs" priority="45" operator="equal">
      <formula>0</formula>
    </cfRule>
  </conditionalFormatting>
  <conditionalFormatting sqref="K13 E13 G13">
    <cfRule type="cellIs" dxfId="349"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8"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7"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6" priority="32" operator="equal">
      <formula>0</formula>
    </cfRule>
  </conditionalFormatting>
  <conditionalFormatting sqref="J5">
    <cfRule type="cellIs" dxfId="345" priority="31" operator="equal">
      <formula>0</formula>
    </cfRule>
  </conditionalFormatting>
  <conditionalFormatting sqref="J6">
    <cfRule type="cellIs" dxfId="344" priority="30" operator="equal">
      <formula>0</formula>
    </cfRule>
  </conditionalFormatting>
  <conditionalFormatting sqref="J9">
    <cfRule type="cellIs" dxfId="343" priority="29" operator="equal">
      <formula>0</formula>
    </cfRule>
  </conditionalFormatting>
  <conditionalFormatting sqref="J10">
    <cfRule type="cellIs" dxfId="342" priority="28" operator="equal">
      <formula>0</formula>
    </cfRule>
  </conditionalFormatting>
  <conditionalFormatting sqref="J7">
    <cfRule type="cellIs" dxfId="341" priority="27" operator="equal">
      <formula>0</formula>
    </cfRule>
  </conditionalFormatting>
  <conditionalFormatting sqref="J8">
    <cfRule type="cellIs" dxfId="340" priority="26" operator="equal">
      <formula>0</formula>
    </cfRule>
  </conditionalFormatting>
  <conditionalFormatting sqref="J11">
    <cfRule type="cellIs" dxfId="339" priority="25" operator="equal">
      <formula>0</formula>
    </cfRule>
  </conditionalFormatting>
  <conditionalFormatting sqref="J13">
    <cfRule type="cellIs" dxfId="338" priority="24" operator="equal">
      <formula>0</formula>
    </cfRule>
  </conditionalFormatting>
  <conditionalFormatting sqref="J12">
    <cfRule type="cellIs" dxfId="337" priority="23" operator="equal">
      <formula>0</formula>
    </cfRule>
  </conditionalFormatting>
  <conditionalFormatting sqref="J25">
    <cfRule type="cellIs" dxfId="336" priority="22" operator="equal">
      <formula>0</formula>
    </cfRule>
  </conditionalFormatting>
  <conditionalFormatting sqref="J26">
    <cfRule type="cellIs" dxfId="335" priority="21" operator="equal">
      <formula>0</formula>
    </cfRule>
  </conditionalFormatting>
  <conditionalFormatting sqref="L3:L4">
    <cfRule type="cellIs" dxfId="334" priority="20" operator="equal">
      <formula>0</formula>
    </cfRule>
  </conditionalFormatting>
  <conditionalFormatting sqref="L5">
    <cfRule type="cellIs" dxfId="333" priority="19" operator="equal">
      <formula>0</formula>
    </cfRule>
  </conditionalFormatting>
  <conditionalFormatting sqref="L6">
    <cfRule type="cellIs" dxfId="332" priority="18" operator="equal">
      <formula>0</formula>
    </cfRule>
  </conditionalFormatting>
  <conditionalFormatting sqref="L7">
    <cfRule type="cellIs" dxfId="331" priority="17" operator="equal">
      <formula>0</formula>
    </cfRule>
  </conditionalFormatting>
  <conditionalFormatting sqref="L8:L9">
    <cfRule type="cellIs" dxfId="330" priority="16" operator="equal">
      <formula>0</formula>
    </cfRule>
  </conditionalFormatting>
  <conditionalFormatting sqref="L14">
    <cfRule type="cellIs" dxfId="329" priority="15" operator="equal">
      <formula>0</formula>
    </cfRule>
  </conditionalFormatting>
  <conditionalFormatting sqref="L15">
    <cfRule type="cellIs" dxfId="328" priority="14" operator="equal">
      <formula>0</formula>
    </cfRule>
  </conditionalFormatting>
  <conditionalFormatting sqref="L16">
    <cfRule type="cellIs" dxfId="327" priority="13" operator="equal">
      <formula>0</formula>
    </cfRule>
  </conditionalFormatting>
  <conditionalFormatting sqref="L17">
    <cfRule type="cellIs" dxfId="326" priority="12" operator="equal">
      <formula>0</formula>
    </cfRule>
  </conditionalFormatting>
  <conditionalFormatting sqref="L18">
    <cfRule type="cellIs" dxfId="325" priority="11" operator="equal">
      <formula>0</formula>
    </cfRule>
  </conditionalFormatting>
  <conditionalFormatting sqref="L19">
    <cfRule type="cellIs" dxfId="324" priority="10" operator="equal">
      <formula>0</formula>
    </cfRule>
  </conditionalFormatting>
  <conditionalFormatting sqref="L20">
    <cfRule type="cellIs" dxfId="323" priority="9" operator="equal">
      <formula>0</formula>
    </cfRule>
  </conditionalFormatting>
  <conditionalFormatting sqref="L21">
    <cfRule type="cellIs" dxfId="322" priority="8" operator="equal">
      <formula>0</formula>
    </cfRule>
  </conditionalFormatting>
  <conditionalFormatting sqref="L22">
    <cfRule type="cellIs" dxfId="321" priority="7" operator="equal">
      <formula>0</formula>
    </cfRule>
  </conditionalFormatting>
  <conditionalFormatting sqref="L23">
    <cfRule type="cellIs" dxfId="320" priority="6" operator="equal">
      <formula>0</formula>
    </cfRule>
  </conditionalFormatting>
  <conditionalFormatting sqref="L24">
    <cfRule type="cellIs" dxfId="319" priority="5" operator="equal">
      <formula>0</formula>
    </cfRule>
  </conditionalFormatting>
  <conditionalFormatting sqref="L10">
    <cfRule type="cellIs" dxfId="318" priority="4" operator="equal">
      <formula>0</formula>
    </cfRule>
  </conditionalFormatting>
  <conditionalFormatting sqref="L11">
    <cfRule type="cellIs" dxfId="317" priority="3" operator="equal">
      <formula>0</formula>
    </cfRule>
  </conditionalFormatting>
  <conditionalFormatting sqref="L12">
    <cfRule type="cellIs" dxfId="316" priority="2" operator="equal">
      <formula>0</formula>
    </cfRule>
  </conditionalFormatting>
  <conditionalFormatting sqref="L13">
    <cfRule type="cellIs" dxfId="31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4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40" t="s">
        <v>367</v>
      </c>
      <c r="N3" s="431" t="s">
        <v>14</v>
      </c>
      <c r="O3" s="434">
        <f ca="1">($G3+$G4+$G5+$G6+$G7)</f>
        <v>1056</v>
      </c>
    </row>
    <row r="4" spans="1:15" ht="15" customHeight="1" x14ac:dyDescent="0.3">
      <c r="A4" s="44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32"/>
      <c r="N4" s="432"/>
      <c r="O4" s="435"/>
    </row>
    <row r="5" spans="1:15" ht="15" customHeight="1" x14ac:dyDescent="0.3">
      <c r="A5" s="44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32"/>
      <c r="N5" s="432"/>
      <c r="O5" s="435"/>
    </row>
    <row r="6" spans="1:15" ht="15" customHeight="1" x14ac:dyDescent="0.3">
      <c r="A6" s="44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32"/>
      <c r="N6" s="432"/>
      <c r="O6" s="435"/>
    </row>
    <row r="7" spans="1:15" ht="15" customHeight="1" thickBot="1" x14ac:dyDescent="0.35">
      <c r="A7" s="44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33"/>
      <c r="N7" s="433"/>
      <c r="O7" s="436"/>
    </row>
    <row r="8" spans="1:15" ht="14.55" customHeight="1" x14ac:dyDescent="0.3">
      <c r="A8" s="45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43" t="s">
        <v>368</v>
      </c>
      <c r="N8" s="446" t="s">
        <v>20</v>
      </c>
      <c r="O8" s="448">
        <f ca="1">($G8+$G9+$G10+$G13)</f>
        <v>960</v>
      </c>
    </row>
    <row r="9" spans="1:15" ht="14.55" customHeight="1" x14ac:dyDescent="0.3">
      <c r="A9" s="45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44"/>
      <c r="N9" s="432"/>
      <c r="O9" s="435"/>
    </row>
    <row r="10" spans="1:15" ht="14.55" customHeight="1" x14ac:dyDescent="0.3">
      <c r="A10" s="45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44"/>
      <c r="N10" s="432"/>
      <c r="O10" s="435"/>
    </row>
    <row r="11" spans="1:15" ht="14.55" customHeight="1" x14ac:dyDescent="0.3">
      <c r="A11" s="45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14.55" customHeight="1" x14ac:dyDescent="0.3">
      <c r="A12" s="45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45"/>
      <c r="N12" s="447"/>
      <c r="O12" s="449"/>
    </row>
    <row r="13" spans="1:15" ht="14.55" customHeight="1" thickBot="1" x14ac:dyDescent="0.35">
      <c r="A13" s="45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45"/>
      <c r="N13" s="447"/>
      <c r="O13" s="449"/>
    </row>
    <row r="14" spans="1:15" ht="14.55" customHeight="1" x14ac:dyDescent="0.3">
      <c r="A14" s="438" t="s">
        <v>23</v>
      </c>
      <c r="B14" s="34" t="s">
        <v>24</v>
      </c>
      <c r="C14" s="36" t="s">
        <v>613</v>
      </c>
      <c r="D14" s="42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40" t="s">
        <v>369</v>
      </c>
      <c r="N14" s="431" t="s">
        <v>29</v>
      </c>
      <c r="O14" s="434">
        <f ca="1">(4*32+G18+G19+G20+G21+G22+G23)</f>
        <v>160</v>
      </c>
    </row>
    <row r="15" spans="1:15" ht="14.55" customHeight="1" x14ac:dyDescent="0.3">
      <c r="A15" s="439"/>
      <c r="B15" s="35" t="s">
        <v>30</v>
      </c>
      <c r="C15" s="37" t="s">
        <v>613</v>
      </c>
      <c r="D15" s="42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37"/>
      <c r="N15" s="432"/>
      <c r="O15" s="435"/>
    </row>
    <row r="16" spans="1:15" ht="14.55" customHeight="1" x14ac:dyDescent="0.3">
      <c r="A16" s="439"/>
      <c r="B16" s="35" t="s">
        <v>31</v>
      </c>
      <c r="C16" s="37" t="s">
        <v>613</v>
      </c>
      <c r="D16" s="42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37"/>
      <c r="N16" s="432"/>
      <c r="O16" s="435"/>
    </row>
    <row r="17" spans="1:15" x14ac:dyDescent="0.3">
      <c r="A17" s="439"/>
      <c r="B17" s="35" t="s">
        <v>32</v>
      </c>
      <c r="C17" s="37" t="s">
        <v>613</v>
      </c>
      <c r="D17" s="42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37"/>
      <c r="N17" s="432"/>
      <c r="O17" s="435"/>
    </row>
    <row r="18" spans="1:15" x14ac:dyDescent="0.3">
      <c r="A18" s="439"/>
      <c r="B18" s="35" t="s">
        <v>34</v>
      </c>
      <c r="C18" s="35" t="s">
        <v>253</v>
      </c>
      <c r="D18" s="42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37"/>
      <c r="N18" s="432"/>
      <c r="O18" s="435"/>
    </row>
    <row r="19" spans="1:15" x14ac:dyDescent="0.3">
      <c r="A19" s="439"/>
      <c r="B19" s="35" t="s">
        <v>36</v>
      </c>
      <c r="C19" s="73" t="s">
        <v>214</v>
      </c>
      <c r="D19" s="42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37"/>
      <c r="N19" s="432"/>
      <c r="O19" s="435"/>
    </row>
    <row r="20" spans="1:15" x14ac:dyDescent="0.3">
      <c r="A20" s="439"/>
      <c r="B20" s="73" t="s">
        <v>246</v>
      </c>
      <c r="C20" s="73" t="s">
        <v>205</v>
      </c>
      <c r="D20" s="42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37"/>
      <c r="N20" s="432"/>
      <c r="O20" s="435"/>
    </row>
    <row r="21" spans="1:15" x14ac:dyDescent="0.3">
      <c r="A21" s="439"/>
      <c r="B21" s="73" t="s">
        <v>250</v>
      </c>
      <c r="C21" s="73" t="s">
        <v>390</v>
      </c>
      <c r="D21" s="42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37"/>
      <c r="N21" s="432"/>
      <c r="O21" s="435"/>
    </row>
    <row r="22" spans="1:15" x14ac:dyDescent="0.3">
      <c r="A22" s="439"/>
      <c r="B22" s="73" t="s">
        <v>251</v>
      </c>
      <c r="C22" s="73" t="s">
        <v>390</v>
      </c>
      <c r="D22" s="42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37"/>
      <c r="N22" s="432"/>
      <c r="O22" s="435"/>
    </row>
    <row r="23" spans="1:15" x14ac:dyDescent="0.3">
      <c r="A23" s="439"/>
      <c r="B23" s="73" t="s">
        <v>252</v>
      </c>
      <c r="C23" s="73" t="s">
        <v>390</v>
      </c>
      <c r="D23" s="42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37"/>
      <c r="N23" s="432"/>
      <c r="O23" s="435"/>
    </row>
    <row r="24" spans="1:15" x14ac:dyDescent="0.3">
      <c r="A24" s="439"/>
      <c r="B24" s="35" t="s">
        <v>38</v>
      </c>
      <c r="C24" s="37" t="s">
        <v>613</v>
      </c>
      <c r="D24" s="42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37"/>
      <c r="N24" s="432"/>
      <c r="O24" s="435"/>
    </row>
    <row r="25" spans="1:15" x14ac:dyDescent="0.3">
      <c r="A25" s="438" t="s">
        <v>41</v>
      </c>
      <c r="B25" s="35" t="s">
        <v>42</v>
      </c>
      <c r="C25" s="35" t="s">
        <v>614</v>
      </c>
      <c r="D25" s="429" t="s">
        <v>43</v>
      </c>
      <c r="E25" s="122"/>
      <c r="F25" s="68" t="s">
        <v>44</v>
      </c>
      <c r="G25" s="39">
        <f ca="1">IF($C25="No Param",32,VLOOKUP($C25,INDIRECT(Config!$B$1),HLOOKUP(D$1,INDIRECT(Config!$E$1),2,FALSE),FALSE)*32)</f>
        <v>32</v>
      </c>
      <c r="H25" s="16" t="str">
        <f ca="1">IF(G25=0,"N/A","0x8000")</f>
        <v>0x8000</v>
      </c>
      <c r="I25" s="16" t="s">
        <v>45</v>
      </c>
      <c r="J25" s="16" t="s">
        <v>48</v>
      </c>
      <c r="K25" s="16" t="s">
        <v>387</v>
      </c>
      <c r="L25" s="3"/>
      <c r="M25" s="437" t="s">
        <v>370</v>
      </c>
      <c r="N25" s="432"/>
      <c r="O25" s="435">
        <f ca="1">(G25+G26)</f>
        <v>64</v>
      </c>
    </row>
    <row r="26" spans="1:15" ht="15" thickBot="1" x14ac:dyDescent="0.35">
      <c r="A26" s="441"/>
      <c r="B26" s="74" t="s">
        <v>46</v>
      </c>
      <c r="C26" s="74" t="s">
        <v>615</v>
      </c>
      <c r="D26" s="430"/>
      <c r="E26" s="123"/>
      <c r="F26" s="76" t="s">
        <v>44</v>
      </c>
      <c r="G26" s="75">
        <f ca="1">IF($C26="No Param",32,VLOOKUP($C26,INDIRECT(Config!$B$1),HLOOKUP(D$1,INDIRECT(Config!$E$1),2,FALSE),FALSE)*32)</f>
        <v>32</v>
      </c>
      <c r="H26" s="26" t="str">
        <f ca="1">IF(G26=0,"N/A","0x8004")</f>
        <v>0x8004</v>
      </c>
      <c r="I26" s="26" t="s">
        <v>47</v>
      </c>
      <c r="J26" s="26" t="s">
        <v>48</v>
      </c>
      <c r="K26" s="26" t="s">
        <v>387</v>
      </c>
      <c r="L26" s="234"/>
      <c r="M26" s="433"/>
      <c r="N26" s="433"/>
      <c r="O26" s="436"/>
    </row>
    <row r="27" spans="1:15" ht="15" thickBot="1" x14ac:dyDescent="0.35">
      <c r="A27" s="124"/>
    </row>
    <row r="28" spans="1:15" x14ac:dyDescent="0.3">
      <c r="A28" s="42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31" t="s">
        <v>48</v>
      </c>
      <c r="O28" s="434">
        <f ca="1">SUM(G28:G42)</f>
        <v>576</v>
      </c>
    </row>
    <row r="29" spans="1:15" ht="15" customHeight="1" x14ac:dyDescent="0.3">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3">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3">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3">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3">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3">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3">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3">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3">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3">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3">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3">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3">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 thickBot="1" x14ac:dyDescent="0.35">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4" priority="256" operator="equal">
      <formula>0</formula>
    </cfRule>
  </conditionalFormatting>
  <conditionalFormatting sqref="J28">
    <cfRule type="cellIs" dxfId="313" priority="272" operator="equal">
      <formula>0</formula>
    </cfRule>
  </conditionalFormatting>
  <conditionalFormatting sqref="C3">
    <cfRule type="cellIs" dxfId="312" priority="258" operator="equal">
      <formula>0</formula>
    </cfRule>
  </conditionalFormatting>
  <conditionalFormatting sqref="C4">
    <cfRule type="cellIs" dxfId="311" priority="257" operator="equal">
      <formula>0</formula>
    </cfRule>
  </conditionalFormatting>
  <conditionalFormatting sqref="B3 D3 G14:G26">
    <cfRule type="cellIs" dxfId="310" priority="269" operator="equal">
      <formula>0</formula>
    </cfRule>
  </conditionalFormatting>
  <conditionalFormatting sqref="B4 D4">
    <cfRule type="cellIs" dxfId="309" priority="268" operator="equal">
      <formula>0</formula>
    </cfRule>
  </conditionalFormatting>
  <conditionalFormatting sqref="B5 D5">
    <cfRule type="cellIs" dxfId="308" priority="267" operator="equal">
      <formula>0</formula>
    </cfRule>
  </conditionalFormatting>
  <conditionalFormatting sqref="B7">
    <cfRule type="cellIs" dxfId="307" priority="266" operator="equal">
      <formula>0</formula>
    </cfRule>
  </conditionalFormatting>
  <conditionalFormatting sqref="B8 D8">
    <cfRule type="cellIs" priority="265" operator="equal">
      <formula>0</formula>
    </cfRule>
  </conditionalFormatting>
  <conditionalFormatting sqref="B9 D9">
    <cfRule type="cellIs" dxfId="306" priority="264" operator="equal">
      <formula>0</formula>
    </cfRule>
  </conditionalFormatting>
  <conditionalFormatting sqref="B10 D10">
    <cfRule type="cellIs" dxfId="305" priority="262" operator="equal">
      <formula>0</formula>
    </cfRule>
    <cfRule type="cellIs" dxfId="304" priority="263" operator="equal">
      <formula>0</formula>
    </cfRule>
  </conditionalFormatting>
  <conditionalFormatting sqref="B6 D6">
    <cfRule type="cellIs" dxfId="303" priority="260" operator="equal">
      <formula>0</formula>
    </cfRule>
  </conditionalFormatting>
  <conditionalFormatting sqref="D7">
    <cfRule type="cellIs" dxfId="302" priority="259" operator="equal">
      <formula>0</formula>
    </cfRule>
  </conditionalFormatting>
  <conditionalFormatting sqref="C7">
    <cfRule type="cellIs" dxfId="301" priority="255" operator="equal">
      <formula>0</formula>
    </cfRule>
  </conditionalFormatting>
  <conditionalFormatting sqref="C8">
    <cfRule type="cellIs" priority="254" operator="equal">
      <formula>0</formula>
    </cfRule>
  </conditionalFormatting>
  <conditionalFormatting sqref="C9">
    <cfRule type="cellIs" dxfId="300" priority="253" operator="equal">
      <formula>0</formula>
    </cfRule>
  </conditionalFormatting>
  <conditionalFormatting sqref="C10">
    <cfRule type="cellIs" dxfId="299" priority="251" operator="equal">
      <formula>0</formula>
    </cfRule>
    <cfRule type="cellIs" dxfId="298" priority="252" operator="equal">
      <formula>0</formula>
    </cfRule>
  </conditionalFormatting>
  <conditionalFormatting sqref="C6">
    <cfRule type="cellIs" dxfId="297" priority="250" operator="equal">
      <formula>0</formula>
    </cfRule>
  </conditionalFormatting>
  <conditionalFormatting sqref="G40">
    <cfRule type="cellIs" dxfId="296" priority="170" operator="equal">
      <formula>0</formula>
    </cfRule>
  </conditionalFormatting>
  <conditionalFormatting sqref="G37">
    <cfRule type="cellIs" dxfId="295" priority="169" operator="equal">
      <formula>0</formula>
    </cfRule>
  </conditionalFormatting>
  <conditionalFormatting sqref="G42">
    <cfRule type="cellIs" dxfId="294" priority="168" operator="equal">
      <formula>0</formula>
    </cfRule>
  </conditionalFormatting>
  <conditionalFormatting sqref="L32">
    <cfRule type="cellIs" dxfId="293" priority="211" operator="equal">
      <formula>0</formula>
    </cfRule>
  </conditionalFormatting>
  <conditionalFormatting sqref="L31">
    <cfRule type="cellIs" dxfId="292" priority="210" operator="equal">
      <formula>0</formula>
    </cfRule>
  </conditionalFormatting>
  <conditionalFormatting sqref="L30">
    <cfRule type="cellIs" dxfId="291" priority="209" operator="equal">
      <formula>0</formula>
    </cfRule>
  </conditionalFormatting>
  <conditionalFormatting sqref="L29">
    <cfRule type="cellIs" dxfId="290" priority="208" operator="equal">
      <formula>0</formula>
    </cfRule>
  </conditionalFormatting>
  <conditionalFormatting sqref="L37">
    <cfRule type="cellIs" dxfId="289" priority="207" operator="equal">
      <formula>0</formula>
    </cfRule>
  </conditionalFormatting>
  <conditionalFormatting sqref="L36">
    <cfRule type="cellIs" dxfId="288" priority="206" operator="equal">
      <formula>0</formula>
    </cfRule>
  </conditionalFormatting>
  <conditionalFormatting sqref="L35">
    <cfRule type="cellIs" dxfId="287" priority="205" operator="equal">
      <formula>0</formula>
    </cfRule>
  </conditionalFormatting>
  <conditionalFormatting sqref="L34">
    <cfRule type="cellIs" dxfId="286" priority="204" operator="equal">
      <formula>0</formula>
    </cfRule>
  </conditionalFormatting>
  <conditionalFormatting sqref="L42">
    <cfRule type="cellIs" dxfId="285" priority="203" operator="equal">
      <formula>0</formula>
    </cfRule>
  </conditionalFormatting>
  <conditionalFormatting sqref="L41">
    <cfRule type="cellIs" dxfId="284" priority="202" operator="equal">
      <formula>0</formula>
    </cfRule>
  </conditionalFormatting>
  <conditionalFormatting sqref="L40">
    <cfRule type="cellIs" dxfId="283" priority="201" operator="equal">
      <formula>0</formula>
    </cfRule>
  </conditionalFormatting>
  <conditionalFormatting sqref="L39">
    <cfRule type="cellIs" dxfId="282" priority="200" operator="equal">
      <formula>0</formula>
    </cfRule>
  </conditionalFormatting>
  <conditionalFormatting sqref="G34">
    <cfRule type="cellIs" dxfId="281" priority="182" operator="equal">
      <formula>0</formula>
    </cfRule>
  </conditionalFormatting>
  <conditionalFormatting sqref="G36">
    <cfRule type="cellIs" dxfId="280" priority="181" operator="equal">
      <formula>0</formula>
    </cfRule>
  </conditionalFormatting>
  <conditionalFormatting sqref="G29">
    <cfRule type="cellIs" dxfId="279" priority="175" operator="equal">
      <formula>0</formula>
    </cfRule>
  </conditionalFormatting>
  <conditionalFormatting sqref="G32">
    <cfRule type="cellIs" dxfId="278" priority="179" operator="equal">
      <formula>0</formula>
    </cfRule>
  </conditionalFormatting>
  <conditionalFormatting sqref="G33">
    <cfRule type="cellIs" dxfId="277" priority="178" operator="equal">
      <formula>0</formula>
    </cfRule>
  </conditionalFormatting>
  <conditionalFormatting sqref="G28">
    <cfRule type="cellIs" dxfId="276" priority="180" operator="equal">
      <formula>0</formula>
    </cfRule>
  </conditionalFormatting>
  <conditionalFormatting sqref="G38">
    <cfRule type="cellIs" dxfId="275" priority="177" operator="equal">
      <formula>0</formula>
    </cfRule>
  </conditionalFormatting>
  <conditionalFormatting sqref="G35">
    <cfRule type="cellIs" dxfId="274" priority="176" operator="equal">
      <formula>0</formula>
    </cfRule>
  </conditionalFormatting>
  <conditionalFormatting sqref="G31">
    <cfRule type="cellIs" dxfId="273" priority="174" operator="equal">
      <formula>0</formula>
    </cfRule>
  </conditionalFormatting>
  <conditionalFormatting sqref="G30">
    <cfRule type="cellIs" dxfId="272" priority="173" operator="equal">
      <formula>0</formula>
    </cfRule>
  </conditionalFormatting>
  <conditionalFormatting sqref="G39">
    <cfRule type="cellIs" dxfId="271" priority="172" operator="equal">
      <formula>0</formula>
    </cfRule>
  </conditionalFormatting>
  <conditionalFormatting sqref="G41">
    <cfRule type="cellIs" dxfId="270" priority="171" operator="equal">
      <formula>0</formula>
    </cfRule>
  </conditionalFormatting>
  <conditionalFormatting sqref="E10">
    <cfRule type="cellIs" priority="131" operator="equal">
      <formula>0</formula>
    </cfRule>
  </conditionalFormatting>
  <conditionalFormatting sqref="E3">
    <cfRule type="cellIs" dxfId="269" priority="146" operator="equal">
      <formula>0</formula>
    </cfRule>
  </conditionalFormatting>
  <conditionalFormatting sqref="E3">
    <cfRule type="cellIs" priority="145" operator="equal">
      <formula>0</formula>
    </cfRule>
  </conditionalFormatting>
  <conditionalFormatting sqref="E5">
    <cfRule type="cellIs" dxfId="268" priority="142" operator="equal">
      <formula>0</formula>
    </cfRule>
  </conditionalFormatting>
  <conditionalFormatting sqref="E5">
    <cfRule type="cellIs" priority="141" operator="equal">
      <formula>0</formula>
    </cfRule>
  </conditionalFormatting>
  <conditionalFormatting sqref="E7">
    <cfRule type="cellIs" dxfId="267" priority="138" operator="equal">
      <formula>0</formula>
    </cfRule>
  </conditionalFormatting>
  <conditionalFormatting sqref="E7">
    <cfRule type="cellIs" priority="137" operator="equal">
      <formula>0</formula>
    </cfRule>
  </conditionalFormatting>
  <conditionalFormatting sqref="E9">
    <cfRule type="cellIs" dxfId="266" priority="134" operator="equal">
      <formula>0</formula>
    </cfRule>
  </conditionalFormatting>
  <conditionalFormatting sqref="E9">
    <cfRule type="cellIs" priority="133" operator="equal">
      <formula>0</formula>
    </cfRule>
  </conditionalFormatting>
  <conditionalFormatting sqref="E4">
    <cfRule type="cellIs" dxfId="265" priority="144" operator="equal">
      <formula>0</formula>
    </cfRule>
  </conditionalFormatting>
  <conditionalFormatting sqref="E4">
    <cfRule type="cellIs" priority="143" operator="equal">
      <formula>0</formula>
    </cfRule>
  </conditionalFormatting>
  <conditionalFormatting sqref="E6">
    <cfRule type="cellIs" dxfId="264" priority="140" operator="equal">
      <formula>0</formula>
    </cfRule>
  </conditionalFormatting>
  <conditionalFormatting sqref="E6">
    <cfRule type="cellIs" priority="139" operator="equal">
      <formula>0</formula>
    </cfRule>
  </conditionalFormatting>
  <conditionalFormatting sqref="E8">
    <cfRule type="cellIs" dxfId="263" priority="136" operator="equal">
      <formula>0</formula>
    </cfRule>
  </conditionalFormatting>
  <conditionalFormatting sqref="E8">
    <cfRule type="cellIs" priority="135" operator="equal">
      <formula>0</formula>
    </cfRule>
  </conditionalFormatting>
  <conditionalFormatting sqref="E10">
    <cfRule type="cellIs" dxfId="262" priority="132" operator="equal">
      <formula>0</formula>
    </cfRule>
  </conditionalFormatting>
  <conditionalFormatting sqref="G4:G10">
    <cfRule type="cellIs" dxfId="261" priority="122" operator="equal">
      <formula>0</formula>
    </cfRule>
  </conditionalFormatting>
  <conditionalFormatting sqref="F6">
    <cfRule type="cellIs" dxfId="260" priority="113" operator="equal">
      <formula>0</formula>
    </cfRule>
  </conditionalFormatting>
  <conditionalFormatting sqref="F3">
    <cfRule type="cellIs" dxfId="259" priority="121" operator="equal">
      <formula>0</formula>
    </cfRule>
  </conditionalFormatting>
  <conditionalFormatting sqref="F4">
    <cfRule type="cellIs" dxfId="258" priority="120" operator="equal">
      <formula>0</formula>
    </cfRule>
  </conditionalFormatting>
  <conditionalFormatting sqref="F5">
    <cfRule type="cellIs" dxfId="257" priority="119" operator="equal">
      <formula>0</formula>
    </cfRule>
  </conditionalFormatting>
  <conditionalFormatting sqref="F7">
    <cfRule type="cellIs" dxfId="256" priority="118" operator="equal">
      <formula>0</formula>
    </cfRule>
  </conditionalFormatting>
  <conditionalFormatting sqref="F9">
    <cfRule type="cellIs" dxfId="255" priority="116" operator="equal">
      <formula>0</formula>
    </cfRule>
  </conditionalFormatting>
  <conditionalFormatting sqref="G3:I3">
    <cfRule type="cellIs" dxfId="254" priority="112" operator="equal">
      <formula>0</formula>
    </cfRule>
  </conditionalFormatting>
  <conditionalFormatting sqref="F8 H9:H10">
    <cfRule type="cellIs" priority="117" operator="equal">
      <formula>0</formula>
    </cfRule>
  </conditionalFormatting>
  <conditionalFormatting sqref="F10">
    <cfRule type="cellIs" dxfId="253" priority="114" operator="equal">
      <formula>0</formula>
    </cfRule>
    <cfRule type="cellIs" dxfId="252" priority="115" operator="equal">
      <formula>0</formula>
    </cfRule>
  </conditionalFormatting>
  <conditionalFormatting sqref="H7">
    <cfRule type="cellIs" dxfId="251" priority="104" operator="equal">
      <formula>0</formula>
    </cfRule>
  </conditionalFormatting>
  <conditionalFormatting sqref="I6">
    <cfRule type="cellIs" dxfId="250" priority="107" operator="equal">
      <formula>0</formula>
    </cfRule>
  </conditionalFormatting>
  <conditionalFormatting sqref="H5">
    <cfRule type="cellIs" dxfId="249" priority="106" operator="equal">
      <formula>0</formula>
    </cfRule>
  </conditionalFormatting>
  <conditionalFormatting sqref="H4:I4">
    <cfRule type="cellIs" dxfId="248" priority="111" operator="equal">
      <formula>0</formula>
    </cfRule>
  </conditionalFormatting>
  <conditionalFormatting sqref="I5">
    <cfRule type="cellIs" dxfId="247" priority="110" operator="equal">
      <formula>0</formula>
    </cfRule>
  </conditionalFormatting>
  <conditionalFormatting sqref="I7">
    <cfRule type="cellIs" dxfId="246" priority="109" operator="equal">
      <formula>0</formula>
    </cfRule>
  </conditionalFormatting>
  <conditionalFormatting sqref="H8:I8">
    <cfRule type="cellIs" priority="108" operator="equal">
      <formula>0</formula>
    </cfRule>
  </conditionalFormatting>
  <conditionalFormatting sqref="H6">
    <cfRule type="cellIs" dxfId="245" priority="105" operator="equal">
      <formula>0</formula>
    </cfRule>
  </conditionalFormatting>
  <conditionalFormatting sqref="I9:I10">
    <cfRule type="cellIs" priority="101" operator="equal">
      <formula>0</formula>
    </cfRule>
  </conditionalFormatting>
  <conditionalFormatting sqref="E11 G11">
    <cfRule type="cellIs" dxfId="244" priority="88" operator="equal">
      <formula>0</formula>
    </cfRule>
  </conditionalFormatting>
  <conditionalFormatting sqref="I11">
    <cfRule type="cellIs" priority="87" operator="equal">
      <formula>0</formula>
    </cfRule>
  </conditionalFormatting>
  <conditionalFormatting sqref="E13 G13">
    <cfRule type="cellIs" dxfId="243"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2"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1"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0" priority="44" operator="equal">
      <formula>0</formula>
    </cfRule>
  </conditionalFormatting>
  <conditionalFormatting sqref="K26">
    <cfRule type="cellIs" dxfId="239" priority="43" operator="equal">
      <formula>0</formula>
    </cfRule>
  </conditionalFormatting>
  <conditionalFormatting sqref="J25">
    <cfRule type="cellIs" dxfId="238" priority="42" operator="equal">
      <formula>0</formula>
    </cfRule>
  </conditionalFormatting>
  <conditionalFormatting sqref="J26">
    <cfRule type="cellIs" dxfId="237" priority="41" operator="equal">
      <formula>0</formula>
    </cfRule>
  </conditionalFormatting>
  <conditionalFormatting sqref="K3:K4">
    <cfRule type="cellIs" dxfId="236" priority="40" operator="equal">
      <formula>0</formula>
    </cfRule>
  </conditionalFormatting>
  <conditionalFormatting sqref="K5">
    <cfRule type="cellIs" dxfId="235" priority="39" operator="equal">
      <formula>0</formula>
    </cfRule>
  </conditionalFormatting>
  <conditionalFormatting sqref="K6">
    <cfRule type="cellIs" dxfId="234" priority="38" operator="equal">
      <formula>0</formula>
    </cfRule>
  </conditionalFormatting>
  <conditionalFormatting sqref="K9">
    <cfRule type="cellIs" dxfId="233" priority="37" operator="equal">
      <formula>0</formula>
    </cfRule>
  </conditionalFormatting>
  <conditionalFormatting sqref="K10">
    <cfRule type="cellIs" dxfId="232" priority="36" operator="equal">
      <formula>0</formula>
    </cfRule>
  </conditionalFormatting>
  <conditionalFormatting sqref="K7">
    <cfRule type="cellIs" dxfId="231" priority="35" operator="equal">
      <formula>0</formula>
    </cfRule>
  </conditionalFormatting>
  <conditionalFormatting sqref="K8">
    <cfRule type="cellIs" dxfId="230" priority="34" operator="equal">
      <formula>0</formula>
    </cfRule>
  </conditionalFormatting>
  <conditionalFormatting sqref="K11">
    <cfRule type="cellIs" dxfId="229" priority="33" operator="equal">
      <formula>0</formula>
    </cfRule>
  </conditionalFormatting>
  <conditionalFormatting sqref="K13">
    <cfRule type="cellIs" dxfId="228" priority="32" operator="equal">
      <formula>0</formula>
    </cfRule>
  </conditionalFormatting>
  <conditionalFormatting sqref="K12">
    <cfRule type="cellIs" dxfId="227" priority="31" operator="equal">
      <formula>0</formula>
    </cfRule>
  </conditionalFormatting>
  <conditionalFormatting sqref="J3:J4">
    <cfRule type="cellIs" dxfId="226" priority="30" operator="equal">
      <formula>0</formula>
    </cfRule>
  </conditionalFormatting>
  <conditionalFormatting sqref="J5">
    <cfRule type="cellIs" dxfId="225" priority="29" operator="equal">
      <formula>0</formula>
    </cfRule>
  </conditionalFormatting>
  <conditionalFormatting sqref="J6">
    <cfRule type="cellIs" dxfId="224" priority="28" operator="equal">
      <formula>0</formula>
    </cfRule>
  </conditionalFormatting>
  <conditionalFormatting sqref="J9">
    <cfRule type="cellIs" dxfId="223" priority="27" operator="equal">
      <formula>0</formula>
    </cfRule>
  </conditionalFormatting>
  <conditionalFormatting sqref="J10">
    <cfRule type="cellIs" dxfId="222" priority="26" operator="equal">
      <formula>0</formula>
    </cfRule>
  </conditionalFormatting>
  <conditionalFormatting sqref="J7">
    <cfRule type="cellIs" dxfId="221" priority="25" operator="equal">
      <formula>0</formula>
    </cfRule>
  </conditionalFormatting>
  <conditionalFormatting sqref="J8">
    <cfRule type="cellIs" dxfId="220" priority="24" operator="equal">
      <formula>0</formula>
    </cfRule>
  </conditionalFormatting>
  <conditionalFormatting sqref="J11">
    <cfRule type="cellIs" dxfId="219" priority="23" operator="equal">
      <formula>0</formula>
    </cfRule>
  </conditionalFormatting>
  <conditionalFormatting sqref="J13">
    <cfRule type="cellIs" dxfId="218" priority="22" operator="equal">
      <formula>0</formula>
    </cfRule>
  </conditionalFormatting>
  <conditionalFormatting sqref="J12">
    <cfRule type="cellIs" dxfId="217" priority="21" operator="equal">
      <formula>0</formula>
    </cfRule>
  </conditionalFormatting>
  <conditionalFormatting sqref="L3:L4">
    <cfRule type="cellIs" dxfId="216" priority="20" operator="equal">
      <formula>0</formula>
    </cfRule>
  </conditionalFormatting>
  <conditionalFormatting sqref="L5">
    <cfRule type="cellIs" dxfId="215" priority="19" operator="equal">
      <formula>0</formula>
    </cfRule>
  </conditionalFormatting>
  <conditionalFormatting sqref="L6">
    <cfRule type="cellIs" dxfId="214" priority="18" operator="equal">
      <formula>0</formula>
    </cfRule>
  </conditionalFormatting>
  <conditionalFormatting sqref="L7">
    <cfRule type="cellIs" dxfId="213" priority="17" operator="equal">
      <formula>0</formula>
    </cfRule>
  </conditionalFormatting>
  <conditionalFormatting sqref="L8:L9">
    <cfRule type="cellIs" dxfId="212" priority="16" operator="equal">
      <formula>0</formula>
    </cfRule>
  </conditionalFormatting>
  <conditionalFormatting sqref="L14">
    <cfRule type="cellIs" dxfId="211" priority="15" operator="equal">
      <formula>0</formula>
    </cfRule>
  </conditionalFormatting>
  <conditionalFormatting sqref="L15">
    <cfRule type="cellIs" dxfId="210" priority="14" operator="equal">
      <formula>0</formula>
    </cfRule>
  </conditionalFormatting>
  <conditionalFormatting sqref="L16">
    <cfRule type="cellIs" dxfId="209" priority="13" operator="equal">
      <formula>0</formula>
    </cfRule>
  </conditionalFormatting>
  <conditionalFormatting sqref="L17">
    <cfRule type="cellIs" dxfId="208" priority="12" operator="equal">
      <formula>0</formula>
    </cfRule>
  </conditionalFormatting>
  <conditionalFormatting sqref="L18">
    <cfRule type="cellIs" dxfId="207" priority="11" operator="equal">
      <formula>0</formula>
    </cfRule>
  </conditionalFormatting>
  <conditionalFormatting sqref="L19">
    <cfRule type="cellIs" dxfId="206" priority="10" operator="equal">
      <formula>0</formula>
    </cfRule>
  </conditionalFormatting>
  <conditionalFormatting sqref="L20">
    <cfRule type="cellIs" dxfId="205" priority="9" operator="equal">
      <formula>0</formula>
    </cfRule>
  </conditionalFormatting>
  <conditionalFormatting sqref="L21">
    <cfRule type="cellIs" dxfId="204" priority="8" operator="equal">
      <formula>0</formula>
    </cfRule>
  </conditionalFormatting>
  <conditionalFormatting sqref="L22">
    <cfRule type="cellIs" dxfId="203" priority="7" operator="equal">
      <formula>0</formula>
    </cfRule>
  </conditionalFormatting>
  <conditionalFormatting sqref="L23">
    <cfRule type="cellIs" dxfId="202" priority="6" operator="equal">
      <formula>0</formula>
    </cfRule>
  </conditionalFormatting>
  <conditionalFormatting sqref="L24">
    <cfRule type="cellIs" dxfId="201" priority="5" operator="equal">
      <formula>0</formula>
    </cfRule>
  </conditionalFormatting>
  <conditionalFormatting sqref="L10">
    <cfRule type="cellIs" dxfId="200" priority="4" operator="equal">
      <formula>0</formula>
    </cfRule>
  </conditionalFormatting>
  <conditionalFormatting sqref="L11">
    <cfRule type="cellIs" dxfId="199" priority="3" operator="equal">
      <formula>0</formula>
    </cfRule>
  </conditionalFormatting>
  <conditionalFormatting sqref="L12">
    <cfRule type="cellIs" dxfId="198" priority="2" operator="equal">
      <formula>0</formula>
    </cfRule>
  </conditionalFormatting>
  <conditionalFormatting sqref="L13">
    <cfRule type="cellIs" dxfId="19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4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40" t="s">
        <v>367</v>
      </c>
      <c r="N3" s="431" t="s">
        <v>14</v>
      </c>
      <c r="O3" s="434">
        <f ca="1">($G3+$G4+$G5+$G6+$G7)</f>
        <v>801</v>
      </c>
    </row>
    <row r="4" spans="1:15" ht="15" customHeight="1" x14ac:dyDescent="0.3">
      <c r="A4" s="44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32"/>
      <c r="N4" s="432"/>
      <c r="O4" s="435"/>
    </row>
    <row r="5" spans="1:15" ht="15" customHeight="1" x14ac:dyDescent="0.3">
      <c r="A5" s="44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32"/>
      <c r="N5" s="432"/>
      <c r="O5" s="435"/>
    </row>
    <row r="6" spans="1:15" ht="15" customHeight="1" thickBot="1" x14ac:dyDescent="0.35">
      <c r="A6" s="44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32"/>
      <c r="N6" s="432"/>
      <c r="O6" s="435"/>
    </row>
    <row r="7" spans="1:15" ht="15" customHeight="1" thickBot="1" x14ac:dyDescent="0.35">
      <c r="A7" s="44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47"/>
      <c r="N7" s="447"/>
      <c r="O7" s="449"/>
    </row>
    <row r="8" spans="1:15" ht="14.55" customHeight="1" x14ac:dyDescent="0.3">
      <c r="A8" s="462"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60" t="s">
        <v>368</v>
      </c>
      <c r="N8" s="431" t="s">
        <v>20</v>
      </c>
      <c r="O8" s="434">
        <f ca="1">($G8+$G9+$G10+$G13)</f>
        <v>992</v>
      </c>
    </row>
    <row r="9" spans="1:15" s="131" customFormat="1" ht="14.55" customHeight="1" x14ac:dyDescent="0.3">
      <c r="A9" s="463"/>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44"/>
      <c r="N9" s="432"/>
      <c r="O9" s="435"/>
    </row>
    <row r="10" spans="1:15" ht="14.55" customHeight="1" thickBot="1" x14ac:dyDescent="0.35">
      <c r="A10" s="463"/>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44"/>
      <c r="N10" s="432"/>
      <c r="O10" s="435"/>
    </row>
    <row r="11" spans="1:15" ht="15" customHeight="1" x14ac:dyDescent="0.3">
      <c r="A11" s="463"/>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44"/>
      <c r="N11" s="432"/>
      <c r="O11" s="435"/>
    </row>
    <row r="12" spans="1:15" ht="39.6" customHeight="1" x14ac:dyDescent="0.3">
      <c r="A12" s="463"/>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44"/>
      <c r="N12" s="432"/>
      <c r="O12" s="435"/>
    </row>
    <row r="13" spans="1:15" ht="15" customHeight="1" thickBot="1" x14ac:dyDescent="0.35">
      <c r="A13" s="464"/>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61"/>
      <c r="N13" s="433"/>
      <c r="O13" s="436"/>
    </row>
    <row r="14" spans="1:15" ht="15" customHeight="1" thickBot="1" x14ac:dyDescent="0.35">
      <c r="A14" s="438" t="s">
        <v>23</v>
      </c>
      <c r="B14" s="43" t="s">
        <v>24</v>
      </c>
      <c r="C14" s="171" t="s">
        <v>613</v>
      </c>
      <c r="D14" s="466"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468" t="s">
        <v>369</v>
      </c>
      <c r="N14" s="446" t="s">
        <v>29</v>
      </c>
      <c r="O14" s="448">
        <f ca="1">(4*32+G18+G19+G20+G21+G22+G23)</f>
        <v>128</v>
      </c>
    </row>
    <row r="15" spans="1:15" x14ac:dyDescent="0.3">
      <c r="A15" s="439"/>
      <c r="B15" s="35" t="s">
        <v>30</v>
      </c>
      <c r="C15" s="37" t="s">
        <v>613</v>
      </c>
      <c r="D15" s="467"/>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37"/>
      <c r="N15" s="432"/>
      <c r="O15" s="435"/>
    </row>
    <row r="16" spans="1:15" x14ac:dyDescent="0.3">
      <c r="A16" s="439"/>
      <c r="B16" s="35" t="s">
        <v>31</v>
      </c>
      <c r="C16" s="37" t="s">
        <v>613</v>
      </c>
      <c r="D16" s="467"/>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37"/>
      <c r="N16" s="432"/>
      <c r="O16" s="435"/>
    </row>
    <row r="17" spans="1:15" x14ac:dyDescent="0.3">
      <c r="A17" s="439"/>
      <c r="B17" s="35" t="s">
        <v>32</v>
      </c>
      <c r="C17" s="37" t="s">
        <v>613</v>
      </c>
      <c r="D17" s="467"/>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37"/>
      <c r="N17" s="432"/>
      <c r="O17" s="435"/>
    </row>
    <row r="18" spans="1:15" ht="15" thickBot="1" x14ac:dyDescent="0.35">
      <c r="A18" s="439"/>
      <c r="B18" s="35" t="s">
        <v>34</v>
      </c>
      <c r="C18" s="35" t="s">
        <v>253</v>
      </c>
      <c r="D18" s="467"/>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37"/>
      <c r="N18" s="432"/>
      <c r="O18" s="435"/>
    </row>
    <row r="19" spans="1:15" x14ac:dyDescent="0.3">
      <c r="A19" s="439"/>
      <c r="B19" s="35" t="s">
        <v>36</v>
      </c>
      <c r="C19" s="73" t="s">
        <v>214</v>
      </c>
      <c r="D19" s="467"/>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37"/>
      <c r="N19" s="432"/>
      <c r="O19" s="435"/>
    </row>
    <row r="20" spans="1:15" x14ac:dyDescent="0.3">
      <c r="A20" s="439"/>
      <c r="B20" s="73" t="s">
        <v>246</v>
      </c>
      <c r="C20" s="73" t="s">
        <v>205</v>
      </c>
      <c r="D20" s="467"/>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37"/>
      <c r="N20" s="432"/>
      <c r="O20" s="435"/>
    </row>
    <row r="21" spans="1:15" x14ac:dyDescent="0.3">
      <c r="A21" s="439"/>
      <c r="B21" s="73" t="s">
        <v>250</v>
      </c>
      <c r="C21" s="73" t="s">
        <v>390</v>
      </c>
      <c r="D21" s="467"/>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37"/>
      <c r="N21" s="432"/>
      <c r="O21" s="435"/>
    </row>
    <row r="22" spans="1:15" ht="15" thickBot="1" x14ac:dyDescent="0.35">
      <c r="A22" s="439"/>
      <c r="B22" s="73" t="s">
        <v>251</v>
      </c>
      <c r="C22" s="73" t="s">
        <v>390</v>
      </c>
      <c r="D22" s="467"/>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37"/>
      <c r="N22" s="432"/>
      <c r="O22" s="435"/>
    </row>
    <row r="23" spans="1:15" x14ac:dyDescent="0.3">
      <c r="A23" s="439"/>
      <c r="B23" s="73" t="s">
        <v>252</v>
      </c>
      <c r="C23" s="73" t="s">
        <v>390</v>
      </c>
      <c r="D23" s="467"/>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37"/>
      <c r="N23" s="432"/>
      <c r="O23" s="435"/>
    </row>
    <row r="24" spans="1:15" x14ac:dyDescent="0.3">
      <c r="A24" s="465"/>
      <c r="B24" s="35" t="s">
        <v>38</v>
      </c>
      <c r="C24" s="37" t="s">
        <v>613</v>
      </c>
      <c r="D24" s="467"/>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37"/>
      <c r="N24" s="432"/>
      <c r="O24" s="435"/>
    </row>
    <row r="25" spans="1:15" x14ac:dyDescent="0.3">
      <c r="A25" s="438" t="s">
        <v>41</v>
      </c>
      <c r="B25" s="35" t="s">
        <v>42</v>
      </c>
      <c r="C25" s="35" t="s">
        <v>614</v>
      </c>
      <c r="D25" s="467" t="s">
        <v>43</v>
      </c>
      <c r="E25" s="122"/>
      <c r="F25" s="25" t="s">
        <v>44</v>
      </c>
      <c r="G25" s="39">
        <f ca="1">IF($C25="No Param",32,VLOOKUP($C25,INDIRECT(Config!$B$1),HLOOKUP(D$1,INDIRECT(Config!$E$1),2,FALSE),FALSE)*32)</f>
        <v>0</v>
      </c>
      <c r="H25" s="16" t="str">
        <f ca="1">IF(G25=0,"N/A","0x8000")</f>
        <v>N/A</v>
      </c>
      <c r="I25" s="16" t="s">
        <v>45</v>
      </c>
      <c r="J25" s="16" t="s">
        <v>48</v>
      </c>
      <c r="K25" s="16" t="s">
        <v>387</v>
      </c>
      <c r="L25" s="16"/>
      <c r="M25" s="437" t="s">
        <v>370</v>
      </c>
      <c r="N25" s="432"/>
      <c r="O25" s="435">
        <f ca="1">(G25+G26)</f>
        <v>0</v>
      </c>
    </row>
    <row r="26" spans="1:15" ht="15" thickBot="1" x14ac:dyDescent="0.35">
      <c r="A26" s="441"/>
      <c r="B26" s="74" t="s">
        <v>46</v>
      </c>
      <c r="C26" s="74" t="s">
        <v>615</v>
      </c>
      <c r="D26" s="469"/>
      <c r="E26" s="123"/>
      <c r="F26" s="177" t="s">
        <v>44</v>
      </c>
      <c r="G26" s="75">
        <f ca="1">IF($C26="No Param",32,VLOOKUP($C26,INDIRECT(Config!$B$1),HLOOKUP(D$1,INDIRECT(Config!$E$1),2,FALSE),FALSE)*32)</f>
        <v>0</v>
      </c>
      <c r="H26" s="26" t="str">
        <f ca="1">IF(G26=0,"N/A","0x8004")</f>
        <v>N/A</v>
      </c>
      <c r="I26" s="26" t="s">
        <v>47</v>
      </c>
      <c r="J26" s="26" t="s">
        <v>48</v>
      </c>
      <c r="K26" s="26" t="s">
        <v>387</v>
      </c>
      <c r="L26" s="26"/>
      <c r="M26" s="433"/>
      <c r="N26" s="433"/>
      <c r="O26" s="436"/>
    </row>
    <row r="27" spans="1:15" ht="15" thickBot="1" x14ac:dyDescent="0.35">
      <c r="A27" s="124"/>
    </row>
    <row r="28" spans="1:15" x14ac:dyDescent="0.3">
      <c r="A28" s="42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31" t="s">
        <v>48</v>
      </c>
      <c r="O28" s="434">
        <f ca="1">SUM(G28:G42)</f>
        <v>0</v>
      </c>
    </row>
    <row r="29" spans="1:15" ht="15" customHeight="1" x14ac:dyDescent="0.3">
      <c r="A29" s="42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37" t="s">
        <v>369</v>
      </c>
      <c r="N29" s="432"/>
      <c r="O29" s="435"/>
    </row>
    <row r="30" spans="1:15" x14ac:dyDescent="0.3">
      <c r="A30" s="42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37"/>
      <c r="N30" s="432"/>
      <c r="O30" s="435"/>
    </row>
    <row r="31" spans="1:15" x14ac:dyDescent="0.3">
      <c r="A31" s="42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37"/>
      <c r="N31" s="432"/>
      <c r="O31" s="435"/>
    </row>
    <row r="32" spans="1:15" x14ac:dyDescent="0.3">
      <c r="A32" s="42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32"/>
      <c r="O32" s="435"/>
    </row>
    <row r="33" spans="1:15" x14ac:dyDescent="0.3">
      <c r="A33" s="42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32"/>
      <c r="O33" s="435"/>
    </row>
    <row r="34" spans="1:15" ht="15" customHeight="1" x14ac:dyDescent="0.3">
      <c r="A34" s="42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37" t="s">
        <v>369</v>
      </c>
      <c r="N34" s="432"/>
      <c r="O34" s="435"/>
    </row>
    <row r="35" spans="1:15" x14ac:dyDescent="0.3">
      <c r="A35" s="42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37"/>
      <c r="N35" s="432"/>
      <c r="O35" s="435"/>
    </row>
    <row r="36" spans="1:15" x14ac:dyDescent="0.3">
      <c r="A36" s="42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37"/>
      <c r="N36" s="432"/>
      <c r="O36" s="435"/>
    </row>
    <row r="37" spans="1:15" x14ac:dyDescent="0.3">
      <c r="A37" s="42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32"/>
      <c r="O37" s="435"/>
    </row>
    <row r="38" spans="1:15" x14ac:dyDescent="0.3">
      <c r="A38" s="42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32"/>
      <c r="O38" s="435"/>
    </row>
    <row r="39" spans="1:15" ht="15" customHeight="1" x14ac:dyDescent="0.3">
      <c r="A39" s="42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37" t="s">
        <v>369</v>
      </c>
      <c r="N39" s="432"/>
      <c r="O39" s="435"/>
    </row>
    <row r="40" spans="1:15" x14ac:dyDescent="0.3">
      <c r="A40" s="42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37"/>
      <c r="N40" s="432"/>
      <c r="O40" s="435"/>
    </row>
    <row r="41" spans="1:15" x14ac:dyDescent="0.3">
      <c r="A41" s="42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37"/>
      <c r="N41" s="432"/>
      <c r="O41" s="435"/>
    </row>
    <row r="42" spans="1:15" ht="15" thickBot="1" x14ac:dyDescent="0.35">
      <c r="A42" s="430"/>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33"/>
      <c r="O42" s="436"/>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6" priority="286" operator="equal">
      <formula>0</formula>
    </cfRule>
  </conditionalFormatting>
  <conditionalFormatting sqref="J28">
    <cfRule type="cellIs" dxfId="195" priority="302" operator="equal">
      <formula>0</formula>
    </cfRule>
  </conditionalFormatting>
  <conditionalFormatting sqref="C3">
    <cfRule type="cellIs" dxfId="194" priority="288" operator="equal">
      <formula>0</formula>
    </cfRule>
  </conditionalFormatting>
  <conditionalFormatting sqref="C4">
    <cfRule type="cellIs" dxfId="193" priority="287" operator="equal">
      <formula>0</formula>
    </cfRule>
  </conditionalFormatting>
  <conditionalFormatting sqref="B3 D3 G14:G26">
    <cfRule type="cellIs" dxfId="192" priority="299" operator="equal">
      <formula>0</formula>
    </cfRule>
  </conditionalFormatting>
  <conditionalFormatting sqref="B4 D4">
    <cfRule type="cellIs" dxfId="191" priority="298" operator="equal">
      <formula>0</formula>
    </cfRule>
  </conditionalFormatting>
  <conditionalFormatting sqref="B5 D5">
    <cfRule type="cellIs" dxfId="190" priority="297" operator="equal">
      <formula>0</formula>
    </cfRule>
  </conditionalFormatting>
  <conditionalFormatting sqref="B7">
    <cfRule type="cellIs" dxfId="189" priority="296" operator="equal">
      <formula>0</formula>
    </cfRule>
  </conditionalFormatting>
  <conditionalFormatting sqref="B8 D8">
    <cfRule type="cellIs" priority="295" operator="equal">
      <formula>0</formula>
    </cfRule>
  </conditionalFormatting>
  <conditionalFormatting sqref="B9 D9">
    <cfRule type="cellIs" dxfId="188" priority="294" operator="equal">
      <formula>0</formula>
    </cfRule>
  </conditionalFormatting>
  <conditionalFormatting sqref="B10 D10">
    <cfRule type="cellIs" dxfId="187" priority="292" operator="equal">
      <formula>0</formula>
    </cfRule>
    <cfRule type="cellIs" dxfId="186" priority="293" operator="equal">
      <formula>0</formula>
    </cfRule>
  </conditionalFormatting>
  <conditionalFormatting sqref="L3:L4">
    <cfRule type="cellIs" dxfId="185" priority="291" operator="equal">
      <formula>0</formula>
    </cfRule>
  </conditionalFormatting>
  <conditionalFormatting sqref="B6 D6">
    <cfRule type="cellIs" dxfId="184" priority="290" operator="equal">
      <formula>0</formula>
    </cfRule>
  </conditionalFormatting>
  <conditionalFormatting sqref="D7">
    <cfRule type="cellIs" dxfId="183" priority="289" operator="equal">
      <formula>0</formula>
    </cfRule>
  </conditionalFormatting>
  <conditionalFormatting sqref="C7">
    <cfRule type="cellIs" dxfId="182" priority="285" operator="equal">
      <formula>0</formula>
    </cfRule>
  </conditionalFormatting>
  <conditionalFormatting sqref="C8">
    <cfRule type="cellIs" priority="284" operator="equal">
      <formula>0</formula>
    </cfRule>
  </conditionalFormatting>
  <conditionalFormatting sqref="C9">
    <cfRule type="cellIs" dxfId="181" priority="283" operator="equal">
      <formula>0</formula>
    </cfRule>
  </conditionalFormatting>
  <conditionalFormatting sqref="C10">
    <cfRule type="cellIs" dxfId="180" priority="281" operator="equal">
      <formula>0</formula>
    </cfRule>
    <cfRule type="cellIs" dxfId="179" priority="282" operator="equal">
      <formula>0</formula>
    </cfRule>
  </conditionalFormatting>
  <conditionalFormatting sqref="C6">
    <cfRule type="cellIs" dxfId="178" priority="280" operator="equal">
      <formula>0</formula>
    </cfRule>
  </conditionalFormatting>
  <conditionalFormatting sqref="G31">
    <cfRule type="cellIs" dxfId="177" priority="204" operator="equal">
      <formula>0</formula>
    </cfRule>
  </conditionalFormatting>
  <conditionalFormatting sqref="G30">
    <cfRule type="cellIs" dxfId="176" priority="203" operator="equal">
      <formula>0</formula>
    </cfRule>
  </conditionalFormatting>
  <conditionalFormatting sqref="G39">
    <cfRule type="cellIs" dxfId="175" priority="202" operator="equal">
      <formula>0</formula>
    </cfRule>
  </conditionalFormatting>
  <conditionalFormatting sqref="G32">
    <cfRule type="cellIs" dxfId="174" priority="209" operator="equal">
      <formula>0</formula>
    </cfRule>
  </conditionalFormatting>
  <conditionalFormatting sqref="G41">
    <cfRule type="cellIs" dxfId="173" priority="201" operator="equal">
      <formula>0</formula>
    </cfRule>
  </conditionalFormatting>
  <conditionalFormatting sqref="G40">
    <cfRule type="cellIs" dxfId="172" priority="200" operator="equal">
      <formula>0</formula>
    </cfRule>
  </conditionalFormatting>
  <conditionalFormatting sqref="L5">
    <cfRule type="cellIs" dxfId="171" priority="248" operator="equal">
      <formula>0</formula>
    </cfRule>
  </conditionalFormatting>
  <conditionalFormatting sqref="L6">
    <cfRule type="cellIs" dxfId="170" priority="247" operator="equal">
      <formula>0</formula>
    </cfRule>
  </conditionalFormatting>
  <conditionalFormatting sqref="L7">
    <cfRule type="cellIs" dxfId="169" priority="246" operator="equal">
      <formula>0</formula>
    </cfRule>
  </conditionalFormatting>
  <conditionalFormatting sqref="L8:L9">
    <cfRule type="cellIs" dxfId="168" priority="245" operator="equal">
      <formula>0</formula>
    </cfRule>
  </conditionalFormatting>
  <conditionalFormatting sqref="L32">
    <cfRule type="cellIs" dxfId="167" priority="241" operator="equal">
      <formula>0</formula>
    </cfRule>
  </conditionalFormatting>
  <conditionalFormatting sqref="L31">
    <cfRule type="cellIs" dxfId="166" priority="240" operator="equal">
      <formula>0</formula>
    </cfRule>
  </conditionalFormatting>
  <conditionalFormatting sqref="L30">
    <cfRule type="cellIs" dxfId="165" priority="239" operator="equal">
      <formula>0</formula>
    </cfRule>
  </conditionalFormatting>
  <conditionalFormatting sqref="L29">
    <cfRule type="cellIs" dxfId="164" priority="238" operator="equal">
      <formula>0</formula>
    </cfRule>
  </conditionalFormatting>
  <conditionalFormatting sqref="L37">
    <cfRule type="cellIs" dxfId="163" priority="237" operator="equal">
      <formula>0</formula>
    </cfRule>
  </conditionalFormatting>
  <conditionalFormatting sqref="L36">
    <cfRule type="cellIs" dxfId="162" priority="236" operator="equal">
      <formula>0</formula>
    </cfRule>
  </conditionalFormatting>
  <conditionalFormatting sqref="L35">
    <cfRule type="cellIs" dxfId="161" priority="235" operator="equal">
      <formula>0</formula>
    </cfRule>
  </conditionalFormatting>
  <conditionalFormatting sqref="L34">
    <cfRule type="cellIs" dxfId="160" priority="234" operator="equal">
      <formula>0</formula>
    </cfRule>
  </conditionalFormatting>
  <conditionalFormatting sqref="L42">
    <cfRule type="cellIs" dxfId="159" priority="233" operator="equal">
      <formula>0</formula>
    </cfRule>
  </conditionalFormatting>
  <conditionalFormatting sqref="L41">
    <cfRule type="cellIs" dxfId="158" priority="232" operator="equal">
      <formula>0</formula>
    </cfRule>
  </conditionalFormatting>
  <conditionalFormatting sqref="L40">
    <cfRule type="cellIs" dxfId="157" priority="231" operator="equal">
      <formula>0</formula>
    </cfRule>
  </conditionalFormatting>
  <conditionalFormatting sqref="L39">
    <cfRule type="cellIs" dxfId="156" priority="230" operator="equal">
      <formula>0</formula>
    </cfRule>
  </conditionalFormatting>
  <conditionalFormatting sqref="L14">
    <cfRule type="cellIs" dxfId="155" priority="229" operator="equal">
      <formula>0</formula>
    </cfRule>
  </conditionalFormatting>
  <conditionalFormatting sqref="L15">
    <cfRule type="cellIs" dxfId="154" priority="228" operator="equal">
      <formula>0</formula>
    </cfRule>
  </conditionalFormatting>
  <conditionalFormatting sqref="L16">
    <cfRule type="cellIs" dxfId="153" priority="227" operator="equal">
      <formula>0</formula>
    </cfRule>
  </conditionalFormatting>
  <conditionalFormatting sqref="L17">
    <cfRule type="cellIs" dxfId="152" priority="226" operator="equal">
      <formula>0</formula>
    </cfRule>
  </conditionalFormatting>
  <conditionalFormatting sqref="L18">
    <cfRule type="cellIs" dxfId="151" priority="225" operator="equal">
      <formula>0</formula>
    </cfRule>
  </conditionalFormatting>
  <conditionalFormatting sqref="L19">
    <cfRule type="cellIs" dxfId="150" priority="224" operator="equal">
      <formula>0</formula>
    </cfRule>
  </conditionalFormatting>
  <conditionalFormatting sqref="L20">
    <cfRule type="cellIs" dxfId="149" priority="223" operator="equal">
      <formula>0</formula>
    </cfRule>
  </conditionalFormatting>
  <conditionalFormatting sqref="L21">
    <cfRule type="cellIs" dxfId="148" priority="222" operator="equal">
      <formula>0</formula>
    </cfRule>
  </conditionalFormatting>
  <conditionalFormatting sqref="L22">
    <cfRule type="cellIs" dxfId="147" priority="221" operator="equal">
      <formula>0</formula>
    </cfRule>
  </conditionalFormatting>
  <conditionalFormatting sqref="L23">
    <cfRule type="cellIs" dxfId="146" priority="220" operator="equal">
      <formula>0</formula>
    </cfRule>
  </conditionalFormatting>
  <conditionalFormatting sqref="L24">
    <cfRule type="cellIs" dxfId="145" priority="219" operator="equal">
      <formula>0</formula>
    </cfRule>
  </conditionalFormatting>
  <conditionalFormatting sqref="G34">
    <cfRule type="cellIs" dxfId="144" priority="212" operator="equal">
      <formula>0</formula>
    </cfRule>
  </conditionalFormatting>
  <conditionalFormatting sqref="G36">
    <cfRule type="cellIs" dxfId="143" priority="211" operator="equal">
      <formula>0</formula>
    </cfRule>
  </conditionalFormatting>
  <conditionalFormatting sqref="G29">
    <cfRule type="cellIs" dxfId="142" priority="205" operator="equal">
      <formula>0</formula>
    </cfRule>
  </conditionalFormatting>
  <conditionalFormatting sqref="G33">
    <cfRule type="cellIs" dxfId="141" priority="208" operator="equal">
      <formula>0</formula>
    </cfRule>
  </conditionalFormatting>
  <conditionalFormatting sqref="G28">
    <cfRule type="cellIs" dxfId="140" priority="210" operator="equal">
      <formula>0</formula>
    </cfRule>
  </conditionalFormatting>
  <conditionalFormatting sqref="G38">
    <cfRule type="cellIs" dxfId="139" priority="207" operator="equal">
      <formula>0</formula>
    </cfRule>
  </conditionalFormatting>
  <conditionalFormatting sqref="G35">
    <cfRule type="cellIs" dxfId="138" priority="206" operator="equal">
      <formula>0</formula>
    </cfRule>
  </conditionalFormatting>
  <conditionalFormatting sqref="G37">
    <cfRule type="cellIs" dxfId="137" priority="199" operator="equal">
      <formula>0</formula>
    </cfRule>
  </conditionalFormatting>
  <conditionalFormatting sqref="G42">
    <cfRule type="cellIs" dxfId="136" priority="198" operator="equal">
      <formula>0</formula>
    </cfRule>
  </conditionalFormatting>
  <conditionalFormatting sqref="E10">
    <cfRule type="cellIs" priority="155" operator="equal">
      <formula>0</formula>
    </cfRule>
  </conditionalFormatting>
  <conditionalFormatting sqref="E4">
    <cfRule type="cellIs" dxfId="135" priority="168" operator="equal">
      <formula>0</formula>
    </cfRule>
  </conditionalFormatting>
  <conditionalFormatting sqref="E3">
    <cfRule type="cellIs" dxfId="134" priority="170" operator="equal">
      <formula>0</formula>
    </cfRule>
  </conditionalFormatting>
  <conditionalFormatting sqref="E3">
    <cfRule type="cellIs" priority="169" operator="equal">
      <formula>0</formula>
    </cfRule>
  </conditionalFormatting>
  <conditionalFormatting sqref="E5">
    <cfRule type="cellIs" dxfId="133" priority="166" operator="equal">
      <formula>0</formula>
    </cfRule>
  </conditionalFormatting>
  <conditionalFormatting sqref="E5">
    <cfRule type="cellIs" priority="165" operator="equal">
      <formula>0</formula>
    </cfRule>
  </conditionalFormatting>
  <conditionalFormatting sqref="E7">
    <cfRule type="cellIs" dxfId="132" priority="162" operator="equal">
      <formula>0</formula>
    </cfRule>
  </conditionalFormatting>
  <conditionalFormatting sqref="E7">
    <cfRule type="cellIs" priority="161" operator="equal">
      <formula>0</formula>
    </cfRule>
  </conditionalFormatting>
  <conditionalFormatting sqref="E9">
    <cfRule type="cellIs" dxfId="131"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0" priority="164" operator="equal">
      <formula>0</formula>
    </cfRule>
  </conditionalFormatting>
  <conditionalFormatting sqref="E6">
    <cfRule type="cellIs" priority="163" operator="equal">
      <formula>0</formula>
    </cfRule>
  </conditionalFormatting>
  <conditionalFormatting sqref="E8">
    <cfRule type="cellIs" dxfId="129" priority="160" operator="equal">
      <formula>0</formula>
    </cfRule>
  </conditionalFormatting>
  <conditionalFormatting sqref="E8">
    <cfRule type="cellIs" priority="159" operator="equal">
      <formula>0</formula>
    </cfRule>
  </conditionalFormatting>
  <conditionalFormatting sqref="E10">
    <cfRule type="cellIs" dxfId="128" priority="156" operator="equal">
      <formula>0</formula>
    </cfRule>
  </conditionalFormatting>
  <conditionalFormatting sqref="G4:G10">
    <cfRule type="cellIs" dxfId="127" priority="122" operator="equal">
      <formula>0</formula>
    </cfRule>
  </conditionalFormatting>
  <conditionalFormatting sqref="F3 F7 F11 F15 F19 F23">
    <cfRule type="cellIs" dxfId="126" priority="121" operator="equal">
      <formula>0</formula>
    </cfRule>
  </conditionalFormatting>
  <conditionalFormatting sqref="F4 F8 F12 F16 F20 F24">
    <cfRule type="cellIs" dxfId="125" priority="120" operator="equal">
      <formula>0</formula>
    </cfRule>
  </conditionalFormatting>
  <conditionalFormatting sqref="H5">
    <cfRule type="cellIs" dxfId="124" priority="106" operator="equal">
      <formula>0</formula>
    </cfRule>
  </conditionalFormatting>
  <conditionalFormatting sqref="I7">
    <cfRule type="cellIs" dxfId="123" priority="109" operator="equal">
      <formula>0</formula>
    </cfRule>
  </conditionalFormatting>
  <conditionalFormatting sqref="F6 F10 F14 F18 F22">
    <cfRule type="cellIs" dxfId="122" priority="113" operator="equal">
      <formula>0</formula>
    </cfRule>
  </conditionalFormatting>
  <conditionalFormatting sqref="G3:I3">
    <cfRule type="cellIs" dxfId="121" priority="112" operator="equal">
      <formula>0</formula>
    </cfRule>
  </conditionalFormatting>
  <conditionalFormatting sqref="H4:I4">
    <cfRule type="cellIs" dxfId="120" priority="111" operator="equal">
      <formula>0</formula>
    </cfRule>
  </conditionalFormatting>
  <conditionalFormatting sqref="I6">
    <cfRule type="cellIs" dxfId="119" priority="107" operator="equal">
      <formula>0</formula>
    </cfRule>
  </conditionalFormatting>
  <conditionalFormatting sqref="H6">
    <cfRule type="cellIs" dxfId="118" priority="105" operator="equal">
      <formula>0</formula>
    </cfRule>
  </conditionalFormatting>
  <conditionalFormatting sqref="I9:I10">
    <cfRule type="cellIs" priority="101" operator="equal">
      <formula>0</formula>
    </cfRule>
  </conditionalFormatting>
  <conditionalFormatting sqref="F5 F9 F13 F17 F21">
    <cfRule type="cellIs" dxfId="117" priority="119" operator="equal">
      <formula>0</formula>
    </cfRule>
  </conditionalFormatting>
  <conditionalFormatting sqref="H9:H10">
    <cfRule type="cellIs" priority="117" operator="equal">
      <formula>0</formula>
    </cfRule>
  </conditionalFormatting>
  <conditionalFormatting sqref="H7">
    <cfRule type="cellIs" dxfId="116" priority="104" operator="equal">
      <formula>0</formula>
    </cfRule>
  </conditionalFormatting>
  <conditionalFormatting sqref="I5">
    <cfRule type="cellIs" dxfId="115" priority="110" operator="equal">
      <formula>0</formula>
    </cfRule>
  </conditionalFormatting>
  <conditionalFormatting sqref="H8:I8">
    <cfRule type="cellIs" priority="108" operator="equal">
      <formula>0</formula>
    </cfRule>
  </conditionalFormatting>
  <conditionalFormatting sqref="E11 G11">
    <cfRule type="cellIs" dxfId="114" priority="84" operator="equal">
      <formula>0</formula>
    </cfRule>
  </conditionalFormatting>
  <conditionalFormatting sqref="I11">
    <cfRule type="cellIs" priority="83" operator="equal">
      <formula>0</formula>
    </cfRule>
  </conditionalFormatting>
  <conditionalFormatting sqref="E13 G13">
    <cfRule type="cellIs" dxfId="113"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2"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1"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0" priority="28" operator="equal">
      <formula>0</formula>
    </cfRule>
  </conditionalFormatting>
  <conditionalFormatting sqref="K26">
    <cfRule type="cellIs" dxfId="109" priority="27" operator="equal">
      <formula>0</formula>
    </cfRule>
  </conditionalFormatting>
  <conditionalFormatting sqref="J25">
    <cfRule type="cellIs" dxfId="108" priority="26" operator="equal">
      <formula>0</formula>
    </cfRule>
  </conditionalFormatting>
  <conditionalFormatting sqref="J26">
    <cfRule type="cellIs" dxfId="107" priority="25" operator="equal">
      <formula>0</formula>
    </cfRule>
  </conditionalFormatting>
  <conditionalFormatting sqref="K3:K4">
    <cfRule type="cellIs" dxfId="106" priority="24" operator="equal">
      <formula>0</formula>
    </cfRule>
  </conditionalFormatting>
  <conditionalFormatting sqref="K5">
    <cfRule type="cellIs" dxfId="105" priority="23" operator="equal">
      <formula>0</formula>
    </cfRule>
  </conditionalFormatting>
  <conditionalFormatting sqref="K6">
    <cfRule type="cellIs" dxfId="104" priority="22" operator="equal">
      <formula>0</formula>
    </cfRule>
  </conditionalFormatting>
  <conditionalFormatting sqref="K9">
    <cfRule type="cellIs" dxfId="103" priority="21" operator="equal">
      <formula>0</formula>
    </cfRule>
  </conditionalFormatting>
  <conditionalFormatting sqref="K10">
    <cfRule type="cellIs" dxfId="102" priority="20" operator="equal">
      <formula>0</formula>
    </cfRule>
  </conditionalFormatting>
  <conditionalFormatting sqref="K7">
    <cfRule type="cellIs" dxfId="101" priority="19" operator="equal">
      <formula>0</formula>
    </cfRule>
  </conditionalFormatting>
  <conditionalFormatting sqref="K8">
    <cfRule type="cellIs" dxfId="100" priority="18" operator="equal">
      <formula>0</formula>
    </cfRule>
  </conditionalFormatting>
  <conditionalFormatting sqref="K11">
    <cfRule type="cellIs" dxfId="99" priority="17" operator="equal">
      <formula>0</formula>
    </cfRule>
  </conditionalFormatting>
  <conditionalFormatting sqref="K13">
    <cfRule type="cellIs" dxfId="98" priority="16" operator="equal">
      <formula>0</formula>
    </cfRule>
  </conditionalFormatting>
  <conditionalFormatting sqref="K12">
    <cfRule type="cellIs" dxfId="97" priority="15" operator="equal">
      <formula>0</formula>
    </cfRule>
  </conditionalFormatting>
  <conditionalFormatting sqref="J3:J4">
    <cfRule type="cellIs" dxfId="96" priority="14" operator="equal">
      <formula>0</formula>
    </cfRule>
  </conditionalFormatting>
  <conditionalFormatting sqref="J5">
    <cfRule type="cellIs" dxfId="95" priority="13" operator="equal">
      <formula>0</formula>
    </cfRule>
  </conditionalFormatting>
  <conditionalFormatting sqref="J6">
    <cfRule type="cellIs" dxfId="94" priority="12" operator="equal">
      <formula>0</formula>
    </cfRule>
  </conditionalFormatting>
  <conditionalFormatting sqref="J9">
    <cfRule type="cellIs" dxfId="93" priority="11" operator="equal">
      <formula>0</formula>
    </cfRule>
  </conditionalFormatting>
  <conditionalFormatting sqref="J10">
    <cfRule type="cellIs" dxfId="92" priority="10" operator="equal">
      <formula>0</formula>
    </cfRule>
  </conditionalFormatting>
  <conditionalFormatting sqref="J7">
    <cfRule type="cellIs" dxfId="91" priority="9" operator="equal">
      <formula>0</formula>
    </cfRule>
  </conditionalFormatting>
  <conditionalFormatting sqref="J8">
    <cfRule type="cellIs" dxfId="90" priority="8" operator="equal">
      <formula>0</formula>
    </cfRule>
  </conditionalFormatting>
  <conditionalFormatting sqref="J11">
    <cfRule type="cellIs" dxfId="89" priority="7" operator="equal">
      <formula>0</formula>
    </cfRule>
  </conditionalFormatting>
  <conditionalFormatting sqref="J13">
    <cfRule type="cellIs" dxfId="88" priority="6" operator="equal">
      <formula>0</formula>
    </cfRule>
  </conditionalFormatting>
  <conditionalFormatting sqref="J12">
    <cfRule type="cellIs" dxfId="87" priority="5" operator="equal">
      <formula>0</formula>
    </cfRule>
  </conditionalFormatting>
  <conditionalFormatting sqref="L10">
    <cfRule type="cellIs" dxfId="86" priority="4" operator="equal">
      <formula>0</formula>
    </cfRule>
  </conditionalFormatting>
  <conditionalFormatting sqref="L11">
    <cfRule type="cellIs" dxfId="85" priority="3" operator="equal">
      <formula>0</formula>
    </cfRule>
  </conditionalFormatting>
  <conditionalFormatting sqref="L12">
    <cfRule type="cellIs" dxfId="84" priority="2" operator="equal">
      <formula>0</formula>
    </cfRule>
  </conditionalFormatting>
  <conditionalFormatting sqref="L13">
    <cfRule type="cellIs" dxfId="8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2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31" t="s">
        <v>48</v>
      </c>
      <c r="O3" s="434">
        <f ca="1">SUM(F3:F17)</f>
        <v>576</v>
      </c>
    </row>
    <row r="4" spans="1:15" ht="15.45" customHeight="1" x14ac:dyDescent="0.3">
      <c r="A4" s="42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37" t="s">
        <v>369</v>
      </c>
      <c r="N4" s="432"/>
      <c r="O4" s="435"/>
    </row>
    <row r="5" spans="1:15" ht="15.45" customHeight="1" x14ac:dyDescent="0.3">
      <c r="A5" s="42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37"/>
      <c r="N5" s="432"/>
      <c r="O5" s="435"/>
    </row>
    <row r="6" spans="1:15" ht="15.45" customHeight="1" x14ac:dyDescent="0.3">
      <c r="A6" s="42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37"/>
      <c r="N6" s="432"/>
      <c r="O6" s="435"/>
    </row>
    <row r="7" spans="1:15" ht="15.45" customHeight="1" x14ac:dyDescent="0.3">
      <c r="A7" s="42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32"/>
      <c r="O7" s="435"/>
    </row>
    <row r="8" spans="1:15" ht="15.45" customHeight="1" x14ac:dyDescent="0.3">
      <c r="A8" s="42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32"/>
      <c r="O8" s="435"/>
    </row>
    <row r="9" spans="1:15" ht="15.45" customHeight="1" x14ac:dyDescent="0.3">
      <c r="A9" s="42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37" t="s">
        <v>369</v>
      </c>
      <c r="N9" s="432"/>
      <c r="O9" s="435"/>
    </row>
    <row r="10" spans="1:15" ht="15.45" customHeight="1" x14ac:dyDescent="0.3">
      <c r="A10" s="42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37"/>
      <c r="N10" s="432"/>
      <c r="O10" s="435"/>
    </row>
    <row r="11" spans="1:15" ht="15.45" customHeight="1" x14ac:dyDescent="0.3">
      <c r="A11" s="42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37"/>
      <c r="N11" s="432"/>
      <c r="O11" s="435"/>
    </row>
    <row r="12" spans="1:15" ht="15.45" customHeight="1" x14ac:dyDescent="0.3">
      <c r="A12" s="42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32"/>
      <c r="O12" s="435"/>
    </row>
    <row r="13" spans="1:15" ht="15.45" customHeight="1" x14ac:dyDescent="0.3">
      <c r="A13" s="42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32"/>
      <c r="O13" s="435"/>
    </row>
    <row r="14" spans="1:15" ht="15.45" customHeight="1" x14ac:dyDescent="0.3">
      <c r="A14" s="42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37" t="s">
        <v>369</v>
      </c>
      <c r="N14" s="432"/>
      <c r="O14" s="435"/>
    </row>
    <row r="15" spans="1:15" ht="15.45" customHeight="1" x14ac:dyDescent="0.3">
      <c r="A15" s="42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37"/>
      <c r="N15" s="432"/>
      <c r="O15" s="435"/>
    </row>
    <row r="16" spans="1:15" ht="15.45" customHeight="1" x14ac:dyDescent="0.3">
      <c r="A16" s="42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37"/>
      <c r="N16" s="432"/>
      <c r="O16" s="435"/>
    </row>
    <row r="17" spans="1:15" ht="15.45" customHeight="1" thickBot="1" x14ac:dyDescent="0.35">
      <c r="A17" s="430"/>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33"/>
      <c r="O17" s="436"/>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2" priority="138" operator="equal">
      <formula>0</formula>
    </cfRule>
  </conditionalFormatting>
  <conditionalFormatting sqref="K7">
    <cfRule type="cellIs" dxfId="81" priority="75" operator="equal">
      <formula>0</formula>
    </cfRule>
  </conditionalFormatting>
  <conditionalFormatting sqref="K6">
    <cfRule type="cellIs" dxfId="80" priority="74" operator="equal">
      <formula>0</formula>
    </cfRule>
  </conditionalFormatting>
  <conditionalFormatting sqref="K5">
    <cfRule type="cellIs" dxfId="79" priority="73" operator="equal">
      <formula>0</formula>
    </cfRule>
  </conditionalFormatting>
  <conditionalFormatting sqref="K4">
    <cfRule type="cellIs" dxfId="78" priority="72" operator="equal">
      <formula>0</formula>
    </cfRule>
  </conditionalFormatting>
  <conditionalFormatting sqref="K12">
    <cfRule type="cellIs" dxfId="77" priority="71" operator="equal">
      <formula>0</formula>
    </cfRule>
  </conditionalFormatting>
  <conditionalFormatting sqref="K11">
    <cfRule type="cellIs" dxfId="76" priority="70" operator="equal">
      <formula>0</formula>
    </cfRule>
  </conditionalFormatting>
  <conditionalFormatting sqref="K10">
    <cfRule type="cellIs" dxfId="75" priority="69" operator="equal">
      <formula>0</formula>
    </cfRule>
  </conditionalFormatting>
  <conditionalFormatting sqref="K9">
    <cfRule type="cellIs" dxfId="74" priority="68" operator="equal">
      <formula>0</formula>
    </cfRule>
  </conditionalFormatting>
  <conditionalFormatting sqref="K17">
    <cfRule type="cellIs" dxfId="73" priority="67" operator="equal">
      <formula>0</formula>
    </cfRule>
  </conditionalFormatting>
  <conditionalFormatting sqref="K16">
    <cfRule type="cellIs" dxfId="72" priority="66" operator="equal">
      <formula>0</formula>
    </cfRule>
  </conditionalFormatting>
  <conditionalFormatting sqref="K15">
    <cfRule type="cellIs" dxfId="71" priority="65" operator="equal">
      <formula>0</formula>
    </cfRule>
  </conditionalFormatting>
  <conditionalFormatting sqref="K14">
    <cfRule type="cellIs" dxfId="70" priority="64" operator="equal">
      <formula>0</formula>
    </cfRule>
  </conditionalFormatting>
  <conditionalFormatting sqref="L7:L8 L12 L3:L5">
    <cfRule type="cellIs" dxfId="69" priority="42" operator="equal">
      <formula>0</formula>
    </cfRule>
  </conditionalFormatting>
  <conditionalFormatting sqref="L6">
    <cfRule type="cellIs" dxfId="68" priority="41" operator="equal">
      <formula>0</formula>
    </cfRule>
  </conditionalFormatting>
  <conditionalFormatting sqref="L13">
    <cfRule type="cellIs" dxfId="67" priority="34" operator="equal">
      <formula>0</formula>
    </cfRule>
  </conditionalFormatting>
  <conditionalFormatting sqref="L9">
    <cfRule type="cellIs" dxfId="66" priority="39" operator="equal">
      <formula>0</formula>
    </cfRule>
  </conditionalFormatting>
  <conditionalFormatting sqref="L11">
    <cfRule type="cellIs" dxfId="65" priority="38" operator="equal">
      <formula>0</formula>
    </cfRule>
  </conditionalFormatting>
  <conditionalFormatting sqref="L16">
    <cfRule type="cellIs" dxfId="64" priority="36" operator="equal">
      <formula>0</formula>
    </cfRule>
  </conditionalFormatting>
  <conditionalFormatting sqref="F9">
    <cfRule type="cellIs" dxfId="63" priority="18" operator="equal">
      <formula>0</formula>
    </cfRule>
  </conditionalFormatting>
  <conditionalFormatting sqref="F11">
    <cfRule type="cellIs" dxfId="62" priority="17" operator="equal">
      <formula>0</formula>
    </cfRule>
  </conditionalFormatting>
  <conditionalFormatting sqref="F4">
    <cfRule type="cellIs" dxfId="61" priority="11" operator="equal">
      <formula>0</formula>
    </cfRule>
  </conditionalFormatting>
  <conditionalFormatting sqref="F7">
    <cfRule type="cellIs" dxfId="60" priority="15" operator="equal">
      <formula>0</formula>
    </cfRule>
  </conditionalFormatting>
  <conditionalFormatting sqref="F8">
    <cfRule type="cellIs" dxfId="59" priority="14" operator="equal">
      <formula>0</formula>
    </cfRule>
  </conditionalFormatting>
  <conditionalFormatting sqref="F3">
    <cfRule type="cellIs" dxfId="58" priority="16" operator="equal">
      <formula>0</formula>
    </cfRule>
  </conditionalFormatting>
  <conditionalFormatting sqref="F13">
    <cfRule type="cellIs" dxfId="57" priority="13" operator="equal">
      <formula>0</formula>
    </cfRule>
  </conditionalFormatting>
  <conditionalFormatting sqref="F10">
    <cfRule type="cellIs" dxfId="56" priority="12" operator="equal">
      <formula>0</formula>
    </cfRule>
  </conditionalFormatting>
  <conditionalFormatting sqref="F6">
    <cfRule type="cellIs" dxfId="55" priority="10" operator="equal">
      <formula>0</formula>
    </cfRule>
  </conditionalFormatting>
  <conditionalFormatting sqref="F5">
    <cfRule type="cellIs" dxfId="54" priority="9" operator="equal">
      <formula>0</formula>
    </cfRule>
  </conditionalFormatting>
  <conditionalFormatting sqref="F14">
    <cfRule type="cellIs" dxfId="53" priority="8" operator="equal">
      <formula>0</formula>
    </cfRule>
  </conditionalFormatting>
  <conditionalFormatting sqref="F16">
    <cfRule type="cellIs" dxfId="52" priority="7" operator="equal">
      <formula>0</formula>
    </cfRule>
  </conditionalFormatting>
  <conditionalFormatting sqref="F15">
    <cfRule type="cellIs" dxfId="51" priority="6" operator="equal">
      <formula>0</formula>
    </cfRule>
  </conditionalFormatting>
  <conditionalFormatting sqref="F12">
    <cfRule type="cellIs" dxfId="50" priority="5" operator="equal">
      <formula>0</formula>
    </cfRule>
  </conditionalFormatting>
  <conditionalFormatting sqref="F17">
    <cfRule type="cellIs" dxfId="49" priority="4" operator="equal">
      <formula>0</formula>
    </cfRule>
  </conditionalFormatting>
  <conditionalFormatting sqref="L14">
    <cfRule type="cellIs" dxfId="48" priority="3" operator="equal">
      <formula>0</formula>
    </cfRule>
  </conditionalFormatting>
  <conditionalFormatting sqref="L10">
    <cfRule type="cellIs" dxfId="47" priority="2" operator="equal">
      <formula>0</formula>
    </cfRule>
  </conditionalFormatting>
  <conditionalFormatting sqref="L15">
    <cfRule type="cellIs" dxfId="4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77" workbookViewId="0">
      <selection activeCell="G90" sqref="G9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21875" style="194" customWidth="1"/>
    <col min="11" max="11" width="4.44140625" style="194"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55" customHeight="1" x14ac:dyDescent="0.3">
      <c r="A2" s="47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55" customHeight="1" x14ac:dyDescent="0.3">
      <c r="A3" s="47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55" customHeight="1" x14ac:dyDescent="0.3">
      <c r="A4" s="47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55" customHeight="1" x14ac:dyDescent="0.3">
      <c r="A5" s="47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55" customHeight="1" x14ac:dyDescent="0.3">
      <c r="A6" s="47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55" customHeight="1" x14ac:dyDescent="0.3">
      <c r="A7" s="47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55" customHeight="1" x14ac:dyDescent="0.3">
      <c r="A8" s="47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55" customHeight="1" x14ac:dyDescent="0.3">
      <c r="A9" s="47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55" customHeight="1" x14ac:dyDescent="0.3">
      <c r="A10" s="47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55" customHeight="1" x14ac:dyDescent="0.3">
      <c r="A11" s="47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55" customHeight="1" x14ac:dyDescent="0.3">
      <c r="A12" s="47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55" customHeight="1" x14ac:dyDescent="0.3">
      <c r="A13" s="47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55" customHeight="1" x14ac:dyDescent="0.3">
      <c r="A14" s="47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55" customHeight="1" x14ac:dyDescent="0.3">
      <c r="A15" s="47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55" customHeight="1" x14ac:dyDescent="0.3">
      <c r="A16" s="47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55" customHeight="1" x14ac:dyDescent="0.3">
      <c r="A17" s="47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55" customHeight="1" x14ac:dyDescent="0.3">
      <c r="A18" s="47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55" customHeight="1" x14ac:dyDescent="0.3">
      <c r="A19" s="47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55" customHeight="1" x14ac:dyDescent="0.3">
      <c r="A20" s="47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55" customHeight="1" x14ac:dyDescent="0.3">
      <c r="A21" s="47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55" customHeight="1" x14ac:dyDescent="0.3">
      <c r="A22" s="47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55" customHeight="1" x14ac:dyDescent="0.3">
      <c r="A23" s="47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55" customHeight="1" x14ac:dyDescent="0.3">
      <c r="A24" s="47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55" customHeight="1" x14ac:dyDescent="0.3">
      <c r="A25" s="47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55" customHeight="1" x14ac:dyDescent="0.3">
      <c r="A26" s="47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55" customHeight="1" x14ac:dyDescent="0.3">
      <c r="A27" s="47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55" customHeight="1" x14ac:dyDescent="0.3">
      <c r="A28" s="47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55" customHeight="1" x14ac:dyDescent="0.3">
      <c r="A29" s="47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55" customHeight="1" x14ac:dyDescent="0.3">
      <c r="A30" s="47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55" customHeight="1" x14ac:dyDescent="0.3">
      <c r="A31" s="47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55" customHeight="1" x14ac:dyDescent="0.3">
      <c r="A32" s="47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55" customHeight="1" x14ac:dyDescent="0.3">
      <c r="A33" s="47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55" customHeight="1" x14ac:dyDescent="0.3">
      <c r="A34" s="47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55" customHeight="1" x14ac:dyDescent="0.3">
      <c r="A35" s="47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55" customHeight="1" x14ac:dyDescent="0.3">
      <c r="A36" s="432"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55" customHeight="1" x14ac:dyDescent="0.3">
      <c r="A37" s="432"/>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55" customHeight="1" x14ac:dyDescent="0.3">
      <c r="A38" s="432"/>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55" customHeight="1" x14ac:dyDescent="0.3">
      <c r="A39" s="432"/>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55" customHeight="1" x14ac:dyDescent="0.3">
      <c r="A40" s="432"/>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55" customHeight="1" x14ac:dyDescent="0.3">
      <c r="A41" s="432"/>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55" customHeight="1" x14ac:dyDescent="0.3">
      <c r="A42" s="432"/>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55" customHeight="1" x14ac:dyDescent="0.3">
      <c r="A43" s="432"/>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55" customHeight="1" x14ac:dyDescent="0.3">
      <c r="A44" s="432"/>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55" customHeight="1" x14ac:dyDescent="0.3">
      <c r="A45" s="432"/>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55" customHeight="1" x14ac:dyDescent="0.3">
      <c r="A46" s="432"/>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55" customHeight="1" x14ac:dyDescent="0.3">
      <c r="A47" s="432"/>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55" customHeight="1" x14ac:dyDescent="0.3">
      <c r="A48" s="432"/>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55" customHeight="1" x14ac:dyDescent="0.3">
      <c r="A49" s="432"/>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55" customHeight="1" x14ac:dyDescent="0.3">
      <c r="A50" s="432"/>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55" customHeight="1" x14ac:dyDescent="0.3">
      <c r="A51" s="432"/>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55" customHeight="1" x14ac:dyDescent="0.3">
      <c r="A52" s="432"/>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55" customHeight="1" x14ac:dyDescent="0.3">
      <c r="A53" s="432"/>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55" customHeight="1" x14ac:dyDescent="0.3">
      <c r="A54" s="432"/>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55" customHeight="1" x14ac:dyDescent="0.3">
      <c r="A55" s="432"/>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55" customHeight="1" x14ac:dyDescent="0.3">
      <c r="A56" s="432"/>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55" customHeight="1" x14ac:dyDescent="0.3">
      <c r="A57" s="432"/>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55" customHeight="1" x14ac:dyDescent="0.3">
      <c r="A58" s="432"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55" customHeight="1" x14ac:dyDescent="0.3">
      <c r="A59" s="432"/>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55" customHeight="1" x14ac:dyDescent="0.3">
      <c r="A60" s="432"/>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55" customHeight="1" x14ac:dyDescent="0.3">
      <c r="A61" s="432"/>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55" customHeight="1" x14ac:dyDescent="0.3">
      <c r="A62" s="432"/>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55" customHeight="1" x14ac:dyDescent="0.3">
      <c r="A63" s="432"/>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55" customHeight="1" x14ac:dyDescent="0.3">
      <c r="A64" s="432"/>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55" customHeight="1" x14ac:dyDescent="0.3">
      <c r="A65" s="432"/>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55" customHeight="1" x14ac:dyDescent="0.3">
      <c r="A66" s="432"/>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55" customHeight="1" x14ac:dyDescent="0.3">
      <c r="A67" s="432"/>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55" customHeight="1" x14ac:dyDescent="0.3">
      <c r="A68" s="432"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55" customHeight="1" x14ac:dyDescent="0.3">
      <c r="A69" s="432"/>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55" customHeight="1" x14ac:dyDescent="0.3">
      <c r="A70" s="432"/>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55" customHeight="1" x14ac:dyDescent="0.3">
      <c r="A71" s="432"/>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55" customHeight="1" x14ac:dyDescent="0.3">
      <c r="A72" s="432"/>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55" customHeight="1" x14ac:dyDescent="0.3">
      <c r="A73" s="432"/>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55" customHeight="1" x14ac:dyDescent="0.3">
      <c r="A74" s="432"/>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55" customHeight="1" x14ac:dyDescent="0.3">
      <c r="A75" s="432"/>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55" customHeight="1" x14ac:dyDescent="0.3">
      <c r="A76" s="432"/>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55" customHeight="1" x14ac:dyDescent="0.3">
      <c r="A77" s="432"/>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55" customHeight="1" x14ac:dyDescent="0.3">
      <c r="A78" s="432"/>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55" customHeight="1" x14ac:dyDescent="0.3">
      <c r="A79" s="432"/>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55" customHeight="1" x14ac:dyDescent="0.3">
      <c r="A80" s="432"/>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55" customHeight="1" x14ac:dyDescent="0.3">
      <c r="A81" s="432"/>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55" customHeight="1" x14ac:dyDescent="0.3">
      <c r="A82" s="432"/>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55" customHeight="1" x14ac:dyDescent="0.3">
      <c r="A83" s="432"/>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55" customHeight="1" x14ac:dyDescent="0.3">
      <c r="A84" s="432"/>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55" customHeight="1" x14ac:dyDescent="0.3">
      <c r="A85" s="432"/>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55" customHeight="1" x14ac:dyDescent="0.3">
      <c r="A86" s="432"/>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32"/>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55" customHeight="1" x14ac:dyDescent="0.3">
      <c r="A88" s="432"/>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55" customHeight="1" x14ac:dyDescent="0.3">
      <c r="A89" s="432"/>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55" customHeight="1" x14ac:dyDescent="0.3">
      <c r="A90" s="447"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55" customHeight="1" x14ac:dyDescent="0.3">
      <c r="A91" s="473"/>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55" customHeight="1" x14ac:dyDescent="0.3">
      <c r="A92" s="446"/>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55"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55"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55"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55" customHeight="1" x14ac:dyDescent="0.3">
      <c r="A96" s="447"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55" customHeight="1" x14ac:dyDescent="0.3">
      <c r="A97" s="473"/>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55" customHeight="1" x14ac:dyDescent="0.3">
      <c r="A98" s="473"/>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55" customHeight="1" x14ac:dyDescent="0.3">
      <c r="A99" s="446"/>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55" customHeight="1" x14ac:dyDescent="0.3">
      <c r="A100" s="432"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55" customHeight="1" x14ac:dyDescent="0.3">
      <c r="A101" s="432"/>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55" customHeight="1" x14ac:dyDescent="0.3">
      <c r="A102" s="473"/>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55" customHeight="1" x14ac:dyDescent="0.3">
      <c r="A103" s="446"/>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55" customHeight="1" x14ac:dyDescent="0.3">
      <c r="A104" s="447" t="s">
        <v>38</v>
      </c>
      <c r="B104" s="4" t="s">
        <v>613</v>
      </c>
      <c r="C104" s="203">
        <v>0</v>
      </c>
      <c r="D104" s="203">
        <v>16</v>
      </c>
      <c r="E104" s="242" t="s">
        <v>262</v>
      </c>
      <c r="F104" s="203" t="s">
        <v>262</v>
      </c>
      <c r="G104" s="470"/>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55" customHeight="1" x14ac:dyDescent="0.3">
      <c r="A105" s="473"/>
      <c r="B105" s="4" t="s">
        <v>613</v>
      </c>
      <c r="C105" s="203">
        <v>16</v>
      </c>
      <c r="D105" s="203">
        <v>8</v>
      </c>
      <c r="E105" s="242" t="s">
        <v>263</v>
      </c>
      <c r="F105" s="203" t="s">
        <v>263</v>
      </c>
      <c r="G105" s="471"/>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55" customHeight="1" x14ac:dyDescent="0.3">
      <c r="A106" s="473"/>
      <c r="B106" s="4" t="s">
        <v>613</v>
      </c>
      <c r="C106" s="203">
        <v>24</v>
      </c>
      <c r="D106" s="203">
        <v>4</v>
      </c>
      <c r="E106" s="242" t="s">
        <v>264</v>
      </c>
      <c r="F106" s="203" t="s">
        <v>264</v>
      </c>
      <c r="G106" s="471"/>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55" customHeight="1" x14ac:dyDescent="0.3">
      <c r="A107" s="446"/>
      <c r="B107" s="4" t="s">
        <v>613</v>
      </c>
      <c r="C107" s="203">
        <v>28</v>
      </c>
      <c r="D107" s="203">
        <v>4</v>
      </c>
      <c r="E107" s="242" t="s">
        <v>265</v>
      </c>
      <c r="F107" s="203" t="s">
        <v>265</v>
      </c>
      <c r="G107" s="472"/>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55" customHeight="1" x14ac:dyDescent="0.3">
      <c r="A108" s="447"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55" customHeight="1" x14ac:dyDescent="0.3">
      <c r="A109" s="473"/>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55" customHeight="1" x14ac:dyDescent="0.3">
      <c r="A110" s="446"/>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55" customHeight="1" x14ac:dyDescent="0.3">
      <c r="A111" s="447"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55" customHeight="1" x14ac:dyDescent="0.3">
      <c r="A112" s="446"/>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55" customHeight="1" x14ac:dyDescent="0.3">
      <c r="A113" s="447"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55" customHeight="1" x14ac:dyDescent="0.3">
      <c r="A114" s="473"/>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55" customHeight="1" x14ac:dyDescent="0.3">
      <c r="A115" s="446"/>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55" customHeight="1" x14ac:dyDescent="0.3">
      <c r="A116" s="447"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55" customHeight="1" x14ac:dyDescent="0.3">
      <c r="A117" s="446"/>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55" customHeight="1" x14ac:dyDescent="0.3">
      <c r="A118" s="447"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55" customHeight="1" x14ac:dyDescent="0.3">
      <c r="A119" s="473"/>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55" customHeight="1" x14ac:dyDescent="0.3">
      <c r="A120" s="446"/>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55" customHeight="1" x14ac:dyDescent="0.3">
      <c r="A121" s="447"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55" customHeight="1" x14ac:dyDescent="0.3">
      <c r="A122" s="446"/>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55"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5" priority="6" operator="equal">
      <formula>"N/A"</formula>
    </cfRule>
  </conditionalFormatting>
  <conditionalFormatting sqref="P119:R119">
    <cfRule type="cellIs" dxfId="44" priority="5" operator="equal">
      <formula>"N/A"</formula>
    </cfRule>
  </conditionalFormatting>
  <conditionalFormatting sqref="P121:R121">
    <cfRule type="cellIs" dxfId="43" priority="4" operator="equal">
      <formula>"N/A"</formula>
    </cfRule>
  </conditionalFormatting>
  <conditionalFormatting sqref="P84:R84">
    <cfRule type="cellIs" dxfId="42" priority="3" operator="equal">
      <formula>"N/A"</formula>
    </cfRule>
  </conditionalFormatting>
  <conditionalFormatting sqref="P64:R64">
    <cfRule type="cellIs" dxfId="41" priority="2" operator="equal">
      <formula>"N/A"</formula>
    </cfRule>
  </conditionalFormatting>
  <conditionalFormatting sqref="P65:R65">
    <cfRule type="cellIs" dxfId="40" priority="1" operator="equal">
      <formula>"N/A"</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58" workbookViewId="0">
      <selection activeCell="E89" sqref="E89"/>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3.44140625" style="193" customWidth="1"/>
    <col min="9" max="9" width="27.88671875" style="194" customWidth="1"/>
    <col min="10" max="10" width="4.44140625" style="194"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55" customHeight="1" x14ac:dyDescent="0.3">
      <c r="A2" s="47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55" customHeight="1" x14ac:dyDescent="0.3">
      <c r="A3" s="47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55" customHeight="1" x14ac:dyDescent="0.3">
      <c r="A4" s="47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55" customHeight="1" x14ac:dyDescent="0.3">
      <c r="A5" s="47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55" customHeight="1" x14ac:dyDescent="0.3">
      <c r="A6" s="47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55" customHeight="1" x14ac:dyDescent="0.3">
      <c r="A7" s="47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55" customHeight="1" x14ac:dyDescent="0.3">
      <c r="A8" s="47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55" customHeight="1" x14ac:dyDescent="0.3">
      <c r="A9" s="47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55" customHeight="1" x14ac:dyDescent="0.3">
      <c r="A10" s="47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55" customHeight="1" x14ac:dyDescent="0.3">
      <c r="A11" s="47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55" customHeight="1" x14ac:dyDescent="0.3">
      <c r="A12" s="47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55" customHeight="1" x14ac:dyDescent="0.3">
      <c r="A13" s="47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55" customHeight="1" x14ac:dyDescent="0.3">
      <c r="A14" s="47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55" customHeight="1" x14ac:dyDescent="0.3">
      <c r="A15" s="47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55" customHeight="1" x14ac:dyDescent="0.3">
      <c r="A16" s="47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55" customHeight="1" x14ac:dyDescent="0.3">
      <c r="A17" s="47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55" customHeight="1" x14ac:dyDescent="0.3">
      <c r="A18" s="47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55" customHeight="1" x14ac:dyDescent="0.3">
      <c r="A19" s="47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55" customHeight="1" x14ac:dyDescent="0.3">
      <c r="A20" s="47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55" customHeight="1" x14ac:dyDescent="0.3">
      <c r="A21" s="47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55" customHeight="1" x14ac:dyDescent="0.3">
      <c r="A22" s="47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55" customHeight="1" x14ac:dyDescent="0.3">
      <c r="A23" s="47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55" customHeight="1" x14ac:dyDescent="0.3">
      <c r="A24" s="47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55" customHeight="1" x14ac:dyDescent="0.3">
      <c r="A25" s="47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55" customHeight="1" x14ac:dyDescent="0.3">
      <c r="A26" s="47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55" customHeight="1" x14ac:dyDescent="0.3">
      <c r="A27" s="47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55" customHeight="1" x14ac:dyDescent="0.3">
      <c r="A28" s="47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55" customHeight="1" x14ac:dyDescent="0.3">
      <c r="A29" s="47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55" customHeight="1" x14ac:dyDescent="0.3">
      <c r="A30" s="47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55" customHeight="1" x14ac:dyDescent="0.3">
      <c r="A31" s="47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55" customHeight="1" x14ac:dyDescent="0.3">
      <c r="A32" s="47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55" customHeight="1" x14ac:dyDescent="0.3">
      <c r="A33" s="47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55" customHeight="1" x14ac:dyDescent="0.3">
      <c r="A34" s="47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55" customHeight="1" x14ac:dyDescent="0.3">
      <c r="A35" s="47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55" customHeight="1" x14ac:dyDescent="0.3">
      <c r="A36" s="432"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55" customHeight="1" x14ac:dyDescent="0.3">
      <c r="A37" s="432"/>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55" customHeight="1" x14ac:dyDescent="0.3">
      <c r="A38" s="432"/>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55" customHeight="1" x14ac:dyDescent="0.3">
      <c r="A39" s="432"/>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55" customHeight="1" x14ac:dyDescent="0.3">
      <c r="A40" s="432"/>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55" customHeight="1" x14ac:dyDescent="0.3">
      <c r="A41" s="432"/>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55" customHeight="1" x14ac:dyDescent="0.3">
      <c r="A42" s="432"/>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55" customHeight="1" x14ac:dyDescent="0.3">
      <c r="A43" s="432"/>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55" customHeight="1" x14ac:dyDescent="0.3">
      <c r="A44" s="432"/>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55" customHeight="1" x14ac:dyDescent="0.3">
      <c r="A45" s="432"/>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55" customHeight="1" x14ac:dyDescent="0.3">
      <c r="A46" s="432"/>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55" customHeight="1" x14ac:dyDescent="0.3">
      <c r="A47" s="432"/>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55" customHeight="1" x14ac:dyDescent="0.3">
      <c r="A48" s="432"/>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55" customHeight="1" x14ac:dyDescent="0.3">
      <c r="A49" s="432"/>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55" customHeight="1" x14ac:dyDescent="0.3">
      <c r="A50" s="432"/>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55" customHeight="1" x14ac:dyDescent="0.3">
      <c r="A51" s="432"/>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55" customHeight="1" x14ac:dyDescent="0.3">
      <c r="A52" s="432"/>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55" customHeight="1" x14ac:dyDescent="0.3">
      <c r="A53" s="432"/>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55" customHeight="1" x14ac:dyDescent="0.3">
      <c r="A54" s="432"/>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55" customHeight="1" x14ac:dyDescent="0.3">
      <c r="A55" s="432"/>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55" customHeight="1" x14ac:dyDescent="0.3">
      <c r="A56" s="432"/>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55" customHeight="1" x14ac:dyDescent="0.3">
      <c r="A57" s="432"/>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55" customHeight="1" x14ac:dyDescent="0.3">
      <c r="A58" s="432"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55" customHeight="1" x14ac:dyDescent="0.3">
      <c r="A59" s="432"/>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55" customHeight="1" x14ac:dyDescent="0.3">
      <c r="A60" s="432"/>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55" customHeight="1" x14ac:dyDescent="0.3">
      <c r="A61" s="432"/>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55" customHeight="1" x14ac:dyDescent="0.3">
      <c r="A62" s="432"/>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55" customHeight="1" x14ac:dyDescent="0.3">
      <c r="A63" s="432"/>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55" customHeight="1" x14ac:dyDescent="0.3">
      <c r="A64" s="432"/>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55" customHeight="1" x14ac:dyDescent="0.3">
      <c r="A65" s="432"/>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55" customHeight="1" x14ac:dyDescent="0.3">
      <c r="A66" s="432"/>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55" customHeight="1" x14ac:dyDescent="0.3">
      <c r="A67" s="432"/>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55" customHeight="1" x14ac:dyDescent="0.3">
      <c r="A68" s="432"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55" customHeight="1" x14ac:dyDescent="0.3">
      <c r="A69" s="432"/>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55" customHeight="1" x14ac:dyDescent="0.3">
      <c r="A70" s="432"/>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55" customHeight="1" x14ac:dyDescent="0.3">
      <c r="A71" s="432"/>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55" customHeight="1" x14ac:dyDescent="0.3">
      <c r="A72" s="432"/>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55" customHeight="1" x14ac:dyDescent="0.3">
      <c r="A73" s="432"/>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55" customHeight="1" x14ac:dyDescent="0.3">
      <c r="A74" s="432"/>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55" customHeight="1" x14ac:dyDescent="0.3">
      <c r="A75" s="432"/>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55" customHeight="1" x14ac:dyDescent="0.3">
      <c r="A76" s="432"/>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55" customHeight="1" x14ac:dyDescent="0.3">
      <c r="A77" s="432"/>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55" customHeight="1" x14ac:dyDescent="0.3">
      <c r="A78" s="432"/>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55" customHeight="1" x14ac:dyDescent="0.3">
      <c r="A79" s="432"/>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55" customHeight="1" x14ac:dyDescent="0.3">
      <c r="A80" s="432"/>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55" customHeight="1" x14ac:dyDescent="0.3">
      <c r="A81" s="432"/>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55" customHeight="1" x14ac:dyDescent="0.3">
      <c r="A82" s="432"/>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55" customHeight="1" x14ac:dyDescent="0.3">
      <c r="A83" s="432"/>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55" customHeight="1" x14ac:dyDescent="0.3">
      <c r="A84" s="432"/>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55" customHeight="1" x14ac:dyDescent="0.3">
      <c r="A85" s="432"/>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55" customHeight="1" x14ac:dyDescent="0.3">
      <c r="A86" s="432"/>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55" customHeight="1" x14ac:dyDescent="0.3">
      <c r="A87" s="432"/>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55" customHeight="1" x14ac:dyDescent="0.3">
      <c r="A88" s="432"/>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55" customHeight="1" x14ac:dyDescent="0.3">
      <c r="A89" s="432"/>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55" customHeight="1" x14ac:dyDescent="0.3">
      <c r="A90" s="447"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55" customHeight="1" x14ac:dyDescent="0.3">
      <c r="A91" s="473"/>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55" customHeight="1" x14ac:dyDescent="0.3">
      <c r="A92" s="446"/>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55"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55"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55"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55" customHeight="1" x14ac:dyDescent="0.3">
      <c r="A96" s="447"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55" customHeight="1" x14ac:dyDescent="0.3">
      <c r="A97" s="473"/>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55" customHeight="1" x14ac:dyDescent="0.3">
      <c r="A98" s="473"/>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55" customHeight="1" x14ac:dyDescent="0.3">
      <c r="A99" s="446"/>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55" customHeight="1" x14ac:dyDescent="0.3">
      <c r="A100" s="432"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55" customHeight="1" x14ac:dyDescent="0.3">
      <c r="A101" s="432"/>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55" customHeight="1" x14ac:dyDescent="0.3">
      <c r="A102" s="473"/>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55" customHeight="1" x14ac:dyDescent="0.3">
      <c r="A103" s="446"/>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55" customHeight="1" x14ac:dyDescent="0.3">
      <c r="A104" s="447" t="s">
        <v>38</v>
      </c>
      <c r="B104" s="4" t="s">
        <v>613</v>
      </c>
      <c r="C104" s="203">
        <v>0</v>
      </c>
      <c r="D104" s="203">
        <v>16</v>
      </c>
      <c r="E104" s="203" t="s">
        <v>262</v>
      </c>
      <c r="F104" s="470"/>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55" customHeight="1" x14ac:dyDescent="0.3">
      <c r="A105" s="473"/>
      <c r="B105" s="4" t="s">
        <v>613</v>
      </c>
      <c r="C105" s="203">
        <v>16</v>
      </c>
      <c r="D105" s="203">
        <v>8</v>
      </c>
      <c r="E105" s="203" t="s">
        <v>263</v>
      </c>
      <c r="F105" s="471"/>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55" customHeight="1" x14ac:dyDescent="0.3">
      <c r="A106" s="473"/>
      <c r="B106" s="4" t="s">
        <v>613</v>
      </c>
      <c r="C106" s="203">
        <v>24</v>
      </c>
      <c r="D106" s="203">
        <v>4</v>
      </c>
      <c r="E106" s="203" t="s">
        <v>264</v>
      </c>
      <c r="F106" s="471"/>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55" customHeight="1" x14ac:dyDescent="0.3">
      <c r="A107" s="446"/>
      <c r="B107" s="4" t="s">
        <v>613</v>
      </c>
      <c r="C107" s="203">
        <v>28</v>
      </c>
      <c r="D107" s="203">
        <v>4</v>
      </c>
      <c r="E107" s="203" t="s">
        <v>265</v>
      </c>
      <c r="F107" s="472"/>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55" customHeight="1" x14ac:dyDescent="0.3">
      <c r="A108" s="447"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55" customHeight="1" x14ac:dyDescent="0.3">
      <c r="A109" s="473"/>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55" customHeight="1" x14ac:dyDescent="0.3">
      <c r="A110" s="446"/>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55" customHeight="1" x14ac:dyDescent="0.3">
      <c r="A111" s="447"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55" customHeight="1" x14ac:dyDescent="0.3">
      <c r="A112" s="446"/>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55" customHeight="1" x14ac:dyDescent="0.3">
      <c r="A113" s="447"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55" customHeight="1" x14ac:dyDescent="0.3">
      <c r="A114" s="473"/>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55" customHeight="1" x14ac:dyDescent="0.3">
      <c r="A115" s="446"/>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55" customHeight="1" x14ac:dyDescent="0.3">
      <c r="A116" s="447"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55" customHeight="1" x14ac:dyDescent="0.3">
      <c r="A117" s="446"/>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55" customHeight="1" x14ac:dyDescent="0.3">
      <c r="A118" s="447"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55" customHeight="1" x14ac:dyDescent="0.3">
      <c r="A119" s="473"/>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55" customHeight="1" x14ac:dyDescent="0.3">
      <c r="A120" s="446"/>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55" customHeight="1" x14ac:dyDescent="0.3">
      <c r="A121" s="447"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55" customHeight="1" x14ac:dyDescent="0.3">
      <c r="A122" s="446"/>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55"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48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475" t="s">
        <v>367</v>
      </c>
      <c r="M3" s="477" t="s">
        <v>14</v>
      </c>
    </row>
    <row r="4" spans="1:13" x14ac:dyDescent="0.3">
      <c r="A4" s="453"/>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53"/>
      <c r="M4" s="478"/>
    </row>
    <row r="5" spans="1:13" x14ac:dyDescent="0.3">
      <c r="A5" s="453"/>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53"/>
      <c r="M5" s="478"/>
    </row>
    <row r="6" spans="1:13" s="15" customFormat="1" x14ac:dyDescent="0.3">
      <c r="A6" s="453"/>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57"/>
      <c r="M6" s="479"/>
    </row>
    <row r="7" spans="1:13" ht="15" thickBot="1" x14ac:dyDescent="0.35">
      <c r="A7" s="47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476"/>
      <c r="M7" s="480"/>
    </row>
    <row r="8" spans="1:13" ht="14.55" customHeight="1" x14ac:dyDescent="0.3">
      <c r="A8" s="455"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483" t="s">
        <v>368</v>
      </c>
      <c r="M8" s="486" t="s">
        <v>20</v>
      </c>
    </row>
    <row r="9" spans="1:13" x14ac:dyDescent="0.3">
      <c r="A9" s="455"/>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484"/>
      <c r="M9" s="487"/>
    </row>
    <row r="10" spans="1:13" x14ac:dyDescent="0.3">
      <c r="A10" s="455"/>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484"/>
      <c r="M10" s="487"/>
    </row>
    <row r="11" spans="1:13" s="15" customFormat="1" x14ac:dyDescent="0.3">
      <c r="A11" s="455"/>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484"/>
      <c r="M11" s="487"/>
    </row>
    <row r="12" spans="1:13" ht="15.45" customHeight="1" x14ac:dyDescent="0.3">
      <c r="A12" s="455"/>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484"/>
      <c r="M12" s="487"/>
    </row>
    <row r="13" spans="1:13" s="15" customFormat="1" ht="14.55" customHeight="1" thickBot="1" x14ac:dyDescent="0.35">
      <c r="A13" s="48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485"/>
      <c r="M13" s="488"/>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45"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48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48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48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48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48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48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48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48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48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48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48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48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48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48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48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48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48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48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48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48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48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48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48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48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48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48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48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48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48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48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49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47"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473"/>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473"/>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473"/>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473"/>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473"/>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473"/>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473"/>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473"/>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473"/>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473"/>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473"/>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473"/>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473"/>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473"/>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473"/>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473"/>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473"/>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473"/>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473"/>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473"/>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473"/>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473"/>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473"/>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473"/>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473"/>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473"/>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473"/>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473"/>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473"/>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473"/>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46"/>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491">
        <v>0</v>
      </c>
      <c r="B2" s="57" t="s">
        <v>577</v>
      </c>
      <c r="C2" s="16">
        <v>0</v>
      </c>
      <c r="D2" s="16"/>
      <c r="E2" s="58"/>
    </row>
    <row r="3" spans="1:5" x14ac:dyDescent="0.3">
      <c r="A3" s="491"/>
      <c r="B3" s="16" t="s">
        <v>578</v>
      </c>
      <c r="C3" s="16">
        <v>8</v>
      </c>
      <c r="D3" s="16"/>
      <c r="E3" s="58"/>
    </row>
    <row r="4" spans="1:5" x14ac:dyDescent="0.3">
      <c r="A4" s="491"/>
      <c r="B4" s="99" t="s">
        <v>584</v>
      </c>
      <c r="C4" s="99" t="s">
        <v>585</v>
      </c>
      <c r="D4" s="16"/>
      <c r="E4" s="58"/>
    </row>
    <row r="5" spans="1:5" x14ac:dyDescent="0.3">
      <c r="A5" s="491"/>
      <c r="B5" s="16" t="s">
        <v>586</v>
      </c>
      <c r="C5" s="16" t="s">
        <v>587</v>
      </c>
      <c r="D5" s="16"/>
      <c r="E5" s="58"/>
    </row>
    <row r="6" spans="1:5" x14ac:dyDescent="0.3">
      <c r="A6" s="491"/>
      <c r="B6" s="16" t="s">
        <v>588</v>
      </c>
      <c r="C6" s="16" t="s">
        <v>589</v>
      </c>
      <c r="D6" s="16"/>
      <c r="E6" s="58"/>
    </row>
    <row r="7" spans="1:5" x14ac:dyDescent="0.3">
      <c r="A7" s="491"/>
      <c r="B7" s="16" t="s">
        <v>590</v>
      </c>
      <c r="C7" s="16" t="s">
        <v>591</v>
      </c>
      <c r="D7" s="16"/>
      <c r="E7" s="58"/>
    </row>
    <row r="8" spans="1:5" ht="57.6" x14ac:dyDescent="0.3">
      <c r="A8" s="491">
        <v>1</v>
      </c>
      <c r="B8" s="98" t="s">
        <v>420</v>
      </c>
      <c r="C8" s="16">
        <v>11</v>
      </c>
      <c r="D8" s="16"/>
      <c r="E8" s="58" t="s">
        <v>595</v>
      </c>
    </row>
    <row r="9" spans="1:5" x14ac:dyDescent="0.3">
      <c r="A9" s="491"/>
      <c r="B9" s="98" t="s">
        <v>581</v>
      </c>
      <c r="C9" s="16">
        <v>0</v>
      </c>
      <c r="D9" s="16"/>
      <c r="E9" s="58" t="s">
        <v>599</v>
      </c>
    </row>
    <row r="10" spans="1:5" x14ac:dyDescent="0.3">
      <c r="A10" s="491"/>
      <c r="B10" s="98" t="s">
        <v>582</v>
      </c>
      <c r="C10" s="16">
        <v>0</v>
      </c>
      <c r="D10" s="16"/>
      <c r="E10" s="58" t="s">
        <v>386</v>
      </c>
    </row>
    <row r="11" spans="1:5" x14ac:dyDescent="0.3">
      <c r="A11" s="491"/>
      <c r="B11" s="98" t="s">
        <v>592</v>
      </c>
      <c r="C11" s="16">
        <v>7</v>
      </c>
      <c r="D11" s="16"/>
      <c r="E11" s="58"/>
    </row>
    <row r="12" spans="1:5" x14ac:dyDescent="0.3">
      <c r="A12" s="491"/>
      <c r="B12" s="98" t="s">
        <v>593</v>
      </c>
      <c r="C12" s="16" t="s">
        <v>594</v>
      </c>
      <c r="D12" s="16"/>
      <c r="E12" s="58"/>
    </row>
    <row r="13" spans="1:5" x14ac:dyDescent="0.3">
      <c r="A13" s="491"/>
      <c r="B13" s="16" t="s">
        <v>390</v>
      </c>
      <c r="C13" s="16"/>
      <c r="D13" s="16"/>
      <c r="E13" s="58"/>
    </row>
    <row r="14" spans="1:5" x14ac:dyDescent="0.3">
      <c r="A14" s="491"/>
      <c r="B14" s="16" t="s">
        <v>205</v>
      </c>
      <c r="C14" s="16"/>
      <c r="D14" s="16"/>
      <c r="E14" s="58"/>
    </row>
    <row r="15" spans="1:5" x14ac:dyDescent="0.3">
      <c r="A15" s="491"/>
      <c r="B15" s="16" t="s">
        <v>579</v>
      </c>
      <c r="C15" s="16" t="s">
        <v>580</v>
      </c>
      <c r="D15" s="16"/>
      <c r="E15" s="58"/>
    </row>
    <row r="16" spans="1:5" x14ac:dyDescent="0.3">
      <c r="A16" s="491"/>
      <c r="B16" s="16" t="s">
        <v>598</v>
      </c>
      <c r="C16" s="16"/>
      <c r="D16" s="16"/>
      <c r="E16" s="58"/>
    </row>
    <row r="17" spans="1:5" x14ac:dyDescent="0.3">
      <c r="A17" s="491">
        <v>2</v>
      </c>
      <c r="B17" s="99" t="s">
        <v>566</v>
      </c>
      <c r="C17" s="99">
        <v>128</v>
      </c>
      <c r="D17" s="16" t="s">
        <v>597</v>
      </c>
      <c r="E17" s="58"/>
    </row>
    <row r="18" spans="1:5" x14ac:dyDescent="0.3">
      <c r="A18" s="491"/>
      <c r="B18" s="99" t="s">
        <v>560</v>
      </c>
      <c r="C18" s="99" t="s">
        <v>563</v>
      </c>
      <c r="D18" s="16"/>
      <c r="E18" s="58"/>
    </row>
    <row r="19" spans="1:5" x14ac:dyDescent="0.3">
      <c r="A19" s="491"/>
      <c r="B19" s="16" t="s">
        <v>561</v>
      </c>
      <c r="C19" s="16" t="s">
        <v>562</v>
      </c>
      <c r="D19" s="16"/>
      <c r="E19" s="58"/>
    </row>
    <row r="20" spans="1:5" x14ac:dyDescent="0.3">
      <c r="A20" s="491"/>
      <c r="B20" s="16" t="s">
        <v>564</v>
      </c>
      <c r="C20" s="16" t="s">
        <v>565</v>
      </c>
      <c r="D20" s="16"/>
      <c r="E20" s="58"/>
    </row>
    <row r="21" spans="1:5" x14ac:dyDescent="0.3">
      <c r="A21" s="491">
        <v>3</v>
      </c>
      <c r="B21" s="99" t="s">
        <v>567</v>
      </c>
      <c r="C21" s="99" t="s">
        <v>568</v>
      </c>
      <c r="D21" s="16"/>
      <c r="E21" s="58"/>
    </row>
    <row r="22" spans="1:5" x14ac:dyDescent="0.3">
      <c r="A22" s="491"/>
      <c r="B22" s="99" t="s">
        <v>569</v>
      </c>
      <c r="C22" s="99" t="s">
        <v>570</v>
      </c>
      <c r="D22" s="16"/>
      <c r="E22" s="58"/>
    </row>
    <row r="23" spans="1:5" x14ac:dyDescent="0.3">
      <c r="A23" s="491"/>
      <c r="B23" s="16" t="s">
        <v>571</v>
      </c>
      <c r="C23" s="16" t="s">
        <v>572</v>
      </c>
      <c r="D23" s="16"/>
      <c r="E23" s="58"/>
    </row>
    <row r="24" spans="1:5" x14ac:dyDescent="0.3">
      <c r="A24" s="491"/>
      <c r="B24" s="16" t="s">
        <v>573</v>
      </c>
      <c r="C24" s="16" t="s">
        <v>574</v>
      </c>
      <c r="D24" s="16"/>
      <c r="E24" s="58"/>
    </row>
    <row r="25" spans="1:5" x14ac:dyDescent="0.3">
      <c r="A25" s="491">
        <v>4</v>
      </c>
      <c r="B25" s="98" t="s">
        <v>575</v>
      </c>
      <c r="C25" s="98" t="s">
        <v>576</v>
      </c>
      <c r="D25" s="16"/>
      <c r="E25" s="58"/>
    </row>
    <row r="26" spans="1:5" x14ac:dyDescent="0.3">
      <c r="A26" s="491"/>
      <c r="B26" s="98" t="s">
        <v>421</v>
      </c>
      <c r="C26" s="16">
        <v>2</v>
      </c>
      <c r="D26" s="16"/>
      <c r="E26" s="58" t="s">
        <v>596</v>
      </c>
    </row>
    <row r="27" spans="1:5" x14ac:dyDescent="0.3">
      <c r="A27" s="491"/>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Revision</vt:lpstr>
      <vt:lpstr>ConfigNew</vt:lpstr>
      <vt:lpstr>CSxE_ESE_GSC_FuseCfg_1</vt:lpstr>
      <vt:lpstr>CSxE_ESE_GSC_FuseCfg</vt:lpstr>
      <vt:lpstr>difference</vt:lpstr>
      <vt:lpstr>Elasti_CSC_review_new</vt:lpstr>
      <vt:lpstr>Sheet1</vt:lpstr>
      <vt:lpstr>Elasti_GSC_review</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2020-11-24T22:47:00Z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